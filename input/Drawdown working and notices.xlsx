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nangiacloud-my.sharepoint.com/personal/jatin_vora_nangia_com/Documents/Desktop/"/>
    </mc:Choice>
  </mc:AlternateContent>
  <xr:revisionPtr revIDLastSave="369" documentId="13_ncr:1_{B69507EF-1004-4A92-8767-CD0AD620A035}" xr6:coauthVersionLast="47" xr6:coauthVersionMax="47" xr10:uidLastSave="{9B7C969E-B72C-45EF-ACC3-EE04D076C476}"/>
  <bookViews>
    <workbookView xWindow="-110" yWindow="-110" windowWidth="19420" windowHeight="12220" tabRatio="853" xr2:uid="{00000000-000D-0000-FFFF-FFFF00000000}"/>
  </bookViews>
  <sheets>
    <sheet name="Instructions" sheetId="17" r:id="rId1"/>
    <sheet name="Working" sheetId="1" r:id="rId2"/>
    <sheet name="Format - Resident investors" sheetId="2" r:id="rId3"/>
    <sheet name="Format - R Inv (Empl &amp; Sponsor)" sheetId="16" r:id="rId4"/>
    <sheet name="Format - NRIs" sheetId="6" r:id="rId5"/>
    <sheet name="Format - LDC's" sheetId="5" r:id="rId6"/>
    <sheet name="Format - 2nd close R investors" sheetId="7" r:id="rId7"/>
    <sheet name="Format - 2nd close NR investors" sheetId="8" r:id="rId8"/>
    <sheet name="Format - 3rd close NR inves" sheetId="11" r:id="rId9"/>
    <sheet name="Format - 3rd close R invest" sheetId="10" r:id="rId10"/>
    <sheet name="Format - Final close Employee" sheetId="13" r:id="rId11"/>
    <sheet name="Format - Institutional Inv" sheetId="12" r:id="rId12"/>
  </sheets>
  <definedNames>
    <definedName name="_xlnm._FilterDatabase" localSheetId="1" hidden="1">Working!$A$2:$AL$60</definedName>
    <definedName name="_xlnm.Print_Area" localSheetId="11">'Format - Institutional Inv'!$A$1:$E$71</definedName>
    <definedName name="_xlnm.Print_Area" localSheetId="5">'Format - LDC''s'!$A$1:$F$74</definedName>
    <definedName name="_xlnm.Print_Area" localSheetId="4">'Format - NRIs'!$A$1:$E$74</definedName>
    <definedName name="_xlnm.Print_Area" localSheetId="3">'Format - R Inv (Empl &amp; Sponsor)'!$A$1:$E$68</definedName>
    <definedName name="_xlnm.Print_Area" localSheetId="2">'Format - Resident investors'!$A$1:$E$68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8" i="5" l="1"/>
  <c r="C1" i="1"/>
  <c r="D1" i="1" s="1"/>
  <c r="E1" i="1" s="1"/>
  <c r="F1" i="1" s="1"/>
  <c r="G1" i="1" s="1"/>
  <c r="H1" i="1" s="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5" i="17" l="1"/>
  <c r="A6" i="17"/>
  <c r="A7" i="17"/>
  <c r="A8" i="17"/>
  <c r="A9" i="17"/>
  <c r="A4" i="17"/>
  <c r="A11" i="5"/>
  <c r="H1" i="2"/>
  <c r="A72" i="6"/>
  <c r="A73" i="5" s="1"/>
  <c r="A66" i="7" s="1"/>
  <c r="A72" i="8" s="1"/>
  <c r="A72" i="11" s="1"/>
  <c r="A65" i="10" s="1"/>
  <c r="A65" i="13" s="1"/>
  <c r="A70" i="12" s="1"/>
  <c r="A63" i="16"/>
  <c r="A69" i="6" s="1"/>
  <c r="A70" i="5" s="1"/>
  <c r="A63" i="7" s="1"/>
  <c r="A69" i="8" s="1"/>
  <c r="A69" i="11" s="1"/>
  <c r="A62" i="10" s="1"/>
  <c r="A62" i="13" s="1"/>
  <c r="A67" i="12" s="1"/>
  <c r="A54" i="16"/>
  <c r="A60" i="6" s="1"/>
  <c r="A61" i="5" s="1"/>
  <c r="A54" i="7" s="1" a="1"/>
  <c r="B48" i="16"/>
  <c r="B50" i="6" s="1" a="1"/>
  <c r="B52" i="5" s="1"/>
  <c r="B48" i="7" s="1" a="1"/>
  <c r="B3" i="16"/>
  <c r="B3" i="6" s="1" a="1"/>
  <c r="B3" i="5" s="1"/>
  <c r="B3" i="7" s="1" a="1"/>
  <c r="B3" i="8" s="1"/>
  <c r="B50" i="8" s="1"/>
  <c r="B3" i="11" s="1"/>
  <c r="B48" i="2"/>
  <c r="W3" i="1"/>
  <c r="J3" i="1"/>
  <c r="L62" i="1"/>
  <c r="E27" i="16"/>
  <c r="D27" i="16"/>
  <c r="C27" i="16"/>
  <c r="B27" i="16"/>
  <c r="A27" i="16"/>
  <c r="A27" i="6"/>
  <c r="A13" i="16"/>
  <c r="A13" i="6"/>
  <c r="X62" i="1"/>
  <c r="J60" i="1"/>
  <c r="Y62" i="1"/>
  <c r="B3" i="10" l="1"/>
  <c r="B50" i="11"/>
  <c r="W60" i="1"/>
  <c r="AL60" i="1" s="1"/>
  <c r="W59" i="1"/>
  <c r="W58" i="1"/>
  <c r="W57" i="1"/>
  <c r="W56" i="1"/>
  <c r="W55" i="1"/>
  <c r="W54" i="1"/>
  <c r="W53" i="1"/>
  <c r="AL53" i="1" s="1"/>
  <c r="W52" i="1"/>
  <c r="AL52" i="1" s="1"/>
  <c r="W51" i="1"/>
  <c r="AL51" i="1" s="1"/>
  <c r="W50" i="1"/>
  <c r="W49" i="1"/>
  <c r="W48" i="1"/>
  <c r="W47" i="1"/>
  <c r="W46" i="1"/>
  <c r="W45" i="1"/>
  <c r="W44" i="1"/>
  <c r="W43" i="1"/>
  <c r="W42" i="1"/>
  <c r="W41" i="1"/>
  <c r="W40" i="1"/>
  <c r="W39" i="1"/>
  <c r="AL39" i="1" s="1"/>
  <c r="W38" i="1"/>
  <c r="W37" i="1"/>
  <c r="W36" i="1"/>
  <c r="W35" i="1"/>
  <c r="W34" i="1"/>
  <c r="W33" i="1"/>
  <c r="W32" i="1"/>
  <c r="W31" i="1"/>
  <c r="W30" i="1"/>
  <c r="W29" i="1"/>
  <c r="W28" i="1"/>
  <c r="W27" i="1"/>
  <c r="AL27" i="1" s="1"/>
  <c r="W26" i="1"/>
  <c r="AL26" i="1" s="1"/>
  <c r="W25" i="1"/>
  <c r="W24" i="1"/>
  <c r="W23" i="1"/>
  <c r="W22" i="1"/>
  <c r="W21" i="1"/>
  <c r="W20" i="1"/>
  <c r="W19" i="1"/>
  <c r="W18" i="1"/>
  <c r="W17" i="1"/>
  <c r="W16" i="1"/>
  <c r="W15" i="1"/>
  <c r="AL15" i="1" s="1"/>
  <c r="W14" i="1"/>
  <c r="AL14" i="1" s="1"/>
  <c r="W13" i="1"/>
  <c r="W12" i="1"/>
  <c r="W11" i="1"/>
  <c r="W10" i="1"/>
  <c r="W9" i="1"/>
  <c r="W8" i="1"/>
  <c r="W7" i="1"/>
  <c r="W6" i="1"/>
  <c r="W5" i="1"/>
  <c r="W4" i="1"/>
  <c r="AL4" i="1" s="1"/>
  <c r="AL3" i="1"/>
  <c r="J59" i="1"/>
  <c r="J58" i="1"/>
  <c r="J57" i="1"/>
  <c r="J56" i="1"/>
  <c r="J55" i="1"/>
  <c r="J54" i="1"/>
  <c r="J53" i="1"/>
  <c r="J52" i="1"/>
  <c r="J51" i="1"/>
  <c r="J50" i="1"/>
  <c r="J49" i="1"/>
  <c r="J48"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B3" i="13" l="1"/>
  <c r="B47" i="10"/>
  <c r="AL28" i="1"/>
  <c r="AL16" i="1"/>
  <c r="AL40" i="1"/>
  <c r="AL54" i="1"/>
  <c r="AL5" i="1"/>
  <c r="AL17" i="1"/>
  <c r="AL29" i="1"/>
  <c r="AL41" i="1"/>
  <c r="AL6" i="1"/>
  <c r="AL18" i="1"/>
  <c r="AL30" i="1"/>
  <c r="AL42" i="1"/>
  <c r="AL55" i="1"/>
  <c r="AL56" i="1"/>
  <c r="AL38" i="1"/>
  <c r="AL50" i="1"/>
  <c r="AL31" i="1"/>
  <c r="AL7" i="1"/>
  <c r="AL19" i="1"/>
  <c r="AL43" i="1"/>
  <c r="AL57" i="1"/>
  <c r="AL13" i="1"/>
  <c r="AL25" i="1"/>
  <c r="AL37" i="1"/>
  <c r="AL49" i="1"/>
  <c r="AL8" i="1"/>
  <c r="AL20" i="1"/>
  <c r="AL32" i="1"/>
  <c r="AL44" i="1"/>
  <c r="AL9" i="1"/>
  <c r="AL21" i="1"/>
  <c r="AL33" i="1"/>
  <c r="AL45" i="1"/>
  <c r="AL10" i="1"/>
  <c r="AL22" i="1"/>
  <c r="AL34" i="1"/>
  <c r="AL58" i="1"/>
  <c r="AL11" i="1"/>
  <c r="AL23" i="1"/>
  <c r="AL35" i="1"/>
  <c r="AL59" i="1"/>
  <c r="AL12" i="1"/>
  <c r="AL24" i="1"/>
  <c r="AL36" i="1"/>
  <c r="AL48" i="1"/>
  <c r="B3" i="12" l="1"/>
  <c r="B49" i="12" s="1"/>
  <c r="B47" i="13"/>
  <c r="Z62" i="1"/>
  <c r="AC62" i="1" l="1"/>
  <c r="AB62" i="1"/>
  <c r="AA62" i="1" l="1"/>
  <c r="W62" i="1" l="1"/>
  <c r="T62" i="1"/>
  <c r="O62" i="1" l="1"/>
  <c r="A31" i="13" l="1"/>
  <c r="E29" i="13"/>
  <c r="D29" i="13"/>
  <c r="C29" i="13"/>
  <c r="B29" i="13"/>
  <c r="D26" i="13"/>
  <c r="C26" i="13"/>
  <c r="E18" i="13"/>
  <c r="D18" i="13"/>
  <c r="C18" i="13"/>
  <c r="B18" i="13"/>
  <c r="A18" i="13"/>
  <c r="A30" i="12"/>
  <c r="E27" i="12"/>
  <c r="C27" i="12"/>
  <c r="B27" i="12"/>
  <c r="A27" i="12"/>
  <c r="A19" i="12"/>
  <c r="A13" i="12"/>
  <c r="A31" i="2" l="1"/>
  <c r="A31" i="10"/>
  <c r="D30" i="10"/>
  <c r="B30" i="10"/>
  <c r="E29" i="10"/>
  <c r="D29" i="10"/>
  <c r="C29" i="10"/>
  <c r="B29" i="10"/>
  <c r="A29" i="10"/>
  <c r="A18" i="10"/>
  <c r="E18" i="10"/>
  <c r="D18" i="10"/>
  <c r="C18" i="10"/>
  <c r="B18" i="10"/>
  <c r="E32" i="11"/>
  <c r="D32" i="11"/>
  <c r="C32" i="11"/>
  <c r="B32" i="11"/>
  <c r="A32" i="11"/>
  <c r="E31" i="11"/>
  <c r="E31" i="13" s="1"/>
  <c r="D31" i="11"/>
  <c r="D31" i="13" s="1"/>
  <c r="C31" i="11"/>
  <c r="C31" i="13" s="1"/>
  <c r="B31" i="11"/>
  <c r="B31" i="13" s="1"/>
  <c r="E30" i="11"/>
  <c r="E30" i="13" s="1"/>
  <c r="D30" i="11"/>
  <c r="D30" i="13" s="1"/>
  <c r="C30" i="11"/>
  <c r="C30" i="13" s="1"/>
  <c r="B30" i="11"/>
  <c r="B30" i="13" s="1"/>
  <c r="A30" i="11"/>
  <c r="E19" i="11"/>
  <c r="D19" i="11"/>
  <c r="C19" i="11"/>
  <c r="B19" i="11"/>
  <c r="A19" i="11"/>
  <c r="A32" i="8"/>
  <c r="A30" i="8"/>
  <c r="A19" i="8"/>
  <c r="A30" i="7"/>
  <c r="A19" i="7"/>
  <c r="A30" i="5"/>
  <c r="A30" i="6"/>
  <c r="AD62" i="1"/>
  <c r="C30" i="10" l="1"/>
  <c r="E30" i="10"/>
  <c r="E31" i="10"/>
  <c r="B31" i="10"/>
  <c r="C31" i="10"/>
  <c r="D31" i="10"/>
  <c r="A31" i="6"/>
  <c r="A31" i="16"/>
  <c r="A31" i="11"/>
  <c r="A32" i="12"/>
  <c r="A30" i="13"/>
  <c r="A35" i="5"/>
  <c r="A30" i="10"/>
  <c r="A31" i="7"/>
  <c r="A31" i="8"/>
  <c r="A13" i="7"/>
  <c r="B27" i="6" l="1"/>
  <c r="I62" i="1" l="1"/>
  <c r="AE62" i="1" l="1"/>
  <c r="E27" i="11"/>
  <c r="D27" i="11"/>
  <c r="C27" i="11"/>
  <c r="B27" i="11"/>
  <c r="A27" i="11"/>
  <c r="A13" i="11"/>
  <c r="D26" i="10"/>
  <c r="C26" i="10"/>
  <c r="A13" i="10" l="1"/>
  <c r="A13" i="13"/>
  <c r="AF62" i="1"/>
  <c r="D27" i="8"/>
  <c r="C27" i="8"/>
  <c r="D27" i="7"/>
  <c r="C27" i="7"/>
  <c r="E27" i="8"/>
  <c r="B27" i="8"/>
  <c r="A27" i="8"/>
  <c r="A13" i="8"/>
  <c r="AK47" i="1" l="1"/>
  <c r="AK46" i="1"/>
  <c r="AJ47" i="1"/>
  <c r="AJ46" i="1"/>
  <c r="AI47" i="1"/>
  <c r="AI46" i="1"/>
  <c r="J46" i="1" l="1"/>
  <c r="J62" i="1" s="1"/>
  <c r="J47" i="1"/>
  <c r="AL47" i="1" s="1"/>
  <c r="U62" i="1"/>
  <c r="S62" i="1"/>
  <c r="R62" i="1"/>
  <c r="P62" i="1"/>
  <c r="AL46" i="1" l="1"/>
  <c r="AI62" i="1"/>
  <c r="F27" i="5" l="1"/>
  <c r="B27" i="5"/>
  <c r="A27" i="5"/>
  <c r="E27" i="6"/>
  <c r="C27" i="5"/>
  <c r="D27" i="6"/>
  <c r="C27" i="6"/>
  <c r="A19" i="6"/>
  <c r="A13" i="5"/>
  <c r="A19" i="5"/>
  <c r="AK62" i="1"/>
  <c r="A11" i="16" l="1"/>
  <c r="V62" i="1"/>
  <c r="A11" i="12" l="1"/>
  <c r="A11" i="13"/>
  <c r="A11" i="10"/>
  <c r="A11" i="11"/>
  <c r="A11" i="8"/>
  <c r="A11" i="7"/>
  <c r="B1" i="1"/>
  <c r="A28" i="16" l="1"/>
  <c r="A28" i="11" l="1"/>
  <c r="A28" i="12"/>
  <c r="A27" i="13"/>
  <c r="A27" i="10"/>
  <c r="B28" i="16"/>
  <c r="B27" i="10" l="1"/>
  <c r="B28" i="12"/>
  <c r="B27" i="13"/>
  <c r="B28" i="11"/>
  <c r="A11" i="6"/>
  <c r="A17" i="16"/>
  <c r="A16" i="16"/>
  <c r="A10" i="16"/>
  <c r="A16" i="6" l="1"/>
  <c r="A16" i="12"/>
  <c r="A17" i="6"/>
  <c r="A17" i="12"/>
  <c r="A10" i="12"/>
  <c r="A10" i="13"/>
  <c r="A17" i="13"/>
  <c r="A16" i="13"/>
  <c r="C28" i="16"/>
  <c r="A10" i="11"/>
  <c r="A10" i="10"/>
  <c r="A17" i="11"/>
  <c r="A17" i="10"/>
  <c r="A16" i="10"/>
  <c r="A16" i="11"/>
  <c r="A17" i="8"/>
  <c r="A17" i="7"/>
  <c r="A16" i="8"/>
  <c r="A16" i="7"/>
  <c r="A10" i="6"/>
  <c r="A10" i="7"/>
  <c r="A10" i="8"/>
  <c r="A28" i="6"/>
  <c r="A28" i="8"/>
  <c r="A28" i="7"/>
  <c r="A16" i="2"/>
  <c r="A16" i="5"/>
  <c r="A10" i="2"/>
  <c r="A10" i="5"/>
  <c r="A17" i="2"/>
  <c r="A17" i="5"/>
  <c r="A28" i="5"/>
  <c r="A11" i="2"/>
  <c r="C28" i="6" l="1"/>
  <c r="C28" i="12"/>
  <c r="C27" i="13"/>
  <c r="C27" i="10"/>
  <c r="C28" i="11"/>
  <c r="C28" i="8"/>
  <c r="C28" i="7"/>
  <c r="C28" i="5"/>
  <c r="B28" i="7"/>
  <c r="B28" i="8"/>
  <c r="B28" i="6"/>
  <c r="B28" i="5"/>
  <c r="AJ62" i="1"/>
  <c r="AH62" i="1" l="1"/>
  <c r="M62" i="1" l="1"/>
  <c r="Q62" i="1"/>
  <c r="G33" i="5" l="1"/>
  <c r="G32" i="5" l="1"/>
  <c r="D28" i="16" l="1"/>
  <c r="B36" i="16" s="1"/>
  <c r="D27" i="10" l="1"/>
  <c r="D28" i="7"/>
  <c r="D28" i="6"/>
  <c r="B36" i="6" s="1"/>
  <c r="D28" i="11"/>
  <c r="D28" i="8"/>
  <c r="B36" i="2"/>
  <c r="D27" i="13"/>
  <c r="D28" i="12"/>
  <c r="B37" i="12" l="1"/>
  <c r="B36" i="8"/>
  <c r="B40" i="5"/>
  <c r="B35" i="13"/>
  <c r="B35" i="10"/>
  <c r="B36" i="11"/>
  <c r="B36" i="7"/>
  <c r="E28" i="16" l="1"/>
  <c r="F28" i="5"/>
  <c r="E27" i="13"/>
  <c r="E28" i="12"/>
  <c r="E28" i="11"/>
  <c r="E28" i="7"/>
  <c r="E27" i="10"/>
  <c r="E28" i="6"/>
  <c r="E2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<sst xmlns="http://schemas.openxmlformats.org/spreadsheetml/2006/main" count="557" uniqueCount="193">
  <si>
    <t>Name of the contributor</t>
  </si>
  <si>
    <t xml:space="preserve">Address </t>
  </si>
  <si>
    <t>Capital contributed till date</t>
  </si>
  <si>
    <t>Folio No.</t>
  </si>
  <si>
    <t>Class</t>
  </si>
  <si>
    <t>DRAWDOWN NOTICE</t>
  </si>
  <si>
    <t>To,</t>
  </si>
  <si>
    <t>A summary of your capital commitment and contributions is given below:</t>
  </si>
  <si>
    <t>Capital contributed till date 
(INR)</t>
  </si>
  <si>
    <t>Name of account holder</t>
  </si>
  <si>
    <t>IFSC Code</t>
  </si>
  <si>
    <t>Account number</t>
  </si>
  <si>
    <t>Date to be changed</t>
  </si>
  <si>
    <t>Drawdown number to be changed</t>
  </si>
  <si>
    <t>Drawdown number and due date to be changed</t>
  </si>
  <si>
    <t>Check Formula</t>
  </si>
  <si>
    <t>Close</t>
  </si>
  <si>
    <t>Excess Contribution</t>
  </si>
  <si>
    <t>Capital commitment</t>
  </si>
  <si>
    <t>Folio No</t>
  </si>
  <si>
    <t xml:space="preserve">Drawdown number to be changed Formula for Capital Contribution to be changed in working sheet
</t>
  </si>
  <si>
    <t>Adjustment for Interest Payable for FY 22</t>
  </si>
  <si>
    <t>Adjustment for CC Payable for FY 22</t>
  </si>
  <si>
    <t>Pending Pro-Rata</t>
  </si>
  <si>
    <t>% on the Capital Commitment</t>
  </si>
  <si>
    <t>Account type</t>
  </si>
  <si>
    <t>A1-001</t>
  </si>
  <si>
    <t>A1-002</t>
  </si>
  <si>
    <t>A1-003</t>
  </si>
  <si>
    <t>A1-004</t>
  </si>
  <si>
    <t>A1-005</t>
  </si>
  <si>
    <t>A2-001</t>
  </si>
  <si>
    <t>A3-001</t>
  </si>
  <si>
    <t>A3-002</t>
  </si>
  <si>
    <t>A3-003</t>
  </si>
  <si>
    <t>A3-004</t>
  </si>
  <si>
    <t>A3-005</t>
  </si>
  <si>
    <t>A3-006</t>
  </si>
  <si>
    <t>A3-007</t>
  </si>
  <si>
    <t>A3-008</t>
  </si>
  <si>
    <t>A3-009</t>
  </si>
  <si>
    <t>A3-010</t>
  </si>
  <si>
    <t>A3-011</t>
  </si>
  <si>
    <t>A3-012</t>
  </si>
  <si>
    <t>A3-013</t>
  </si>
  <si>
    <t>A3-014</t>
  </si>
  <si>
    <t>A3-015</t>
  </si>
  <si>
    <t>A3-016</t>
  </si>
  <si>
    <t>A3-017</t>
  </si>
  <si>
    <t>A3-018</t>
  </si>
  <si>
    <t>A3-019</t>
  </si>
  <si>
    <t>A3-020</t>
  </si>
  <si>
    <t>A3-021</t>
  </si>
  <si>
    <t>A3-022</t>
  </si>
  <si>
    <t>A3-023</t>
  </si>
  <si>
    <t>A3-024</t>
  </si>
  <si>
    <t>A3-025</t>
  </si>
  <si>
    <t>A3-026</t>
  </si>
  <si>
    <t>A3-027</t>
  </si>
  <si>
    <t>A4-001</t>
  </si>
  <si>
    <t>B1-001</t>
  </si>
  <si>
    <t>C-001</t>
  </si>
  <si>
    <t>C-002</t>
  </si>
  <si>
    <t>C-003</t>
  </si>
  <si>
    <t>C-004</t>
  </si>
  <si>
    <t>A1</t>
  </si>
  <si>
    <t>A2</t>
  </si>
  <si>
    <t>A3</t>
  </si>
  <si>
    <t>A4</t>
  </si>
  <si>
    <t>B1</t>
  </si>
  <si>
    <t>C</t>
  </si>
  <si>
    <t>Date change for Management fees</t>
  </si>
  <si>
    <t>Yours truly,</t>
  </si>
  <si>
    <t>Bank Name &amp; Branch</t>
  </si>
  <si>
    <t>Capital contribution for Portfolio Investment
(INR)</t>
  </si>
  <si>
    <t>Dear Investor,</t>
  </si>
  <si>
    <t>1.     Name of remitting bank and branch</t>
  </si>
  <si>
    <t>2.     Date of Remittance</t>
  </si>
  <si>
    <t>3.     Amount remitted</t>
  </si>
  <si>
    <t>4.     UTR No.</t>
  </si>
  <si>
    <t xml:space="preserve">Thank you in advance for your co-operation and attention to this matter. </t>
  </si>
  <si>
    <t>Capital contribution for Portfolio Investment 
(INR)</t>
  </si>
  <si>
    <t>SWIFT address</t>
  </si>
  <si>
    <t>For International remittances, please find below USD account details</t>
  </si>
  <si>
    <t>Amount to be remitted (INR)</t>
  </si>
  <si>
    <t>Due to KYC norms being applicable for such investments, it is requested that the NEFT/RTGS instruction be issued from your designated bank account. Payment from third party accounts cannot be accepted.</t>
  </si>
  <si>
    <t>Capital contribution for Management fees
(INR)</t>
  </si>
  <si>
    <t>Capital contribution for Establishment and Fund Expenses
(INR)</t>
  </si>
  <si>
    <t xml:space="preserve">Please instruct the remitting bank to transfer funds by wire transfer to the bank as mentioned below. </t>
  </si>
  <si>
    <t>Please instruct the remitting bank to transfer funds by wire transfer to the bank as mentioned below.</t>
  </si>
  <si>
    <t>B2-001</t>
  </si>
  <si>
    <t>B2</t>
  </si>
  <si>
    <t>4th Drawdown Amount Paid</t>
  </si>
  <si>
    <t>3rd Drawdown Amount Paid</t>
  </si>
  <si>
    <t>2nd Drawdown Amount Paid</t>
  </si>
  <si>
    <t>1st Drawdown Amount Paid</t>
  </si>
  <si>
    <t>Capital contribution for Fund Expenses 
(INR)</t>
  </si>
  <si>
    <t>5th Drawdown Amount Paid</t>
  </si>
  <si>
    <t>A1-006</t>
  </si>
  <si>
    <t>A3-028</t>
  </si>
  <si>
    <t>A3-029</t>
  </si>
  <si>
    <t>A3-030</t>
  </si>
  <si>
    <t>C-006</t>
  </si>
  <si>
    <t xml:space="preserve">Management fee till date (in INR) - Imputed Cost Adjustment </t>
  </si>
  <si>
    <t>A1-007</t>
  </si>
  <si>
    <t>A3-031</t>
  </si>
  <si>
    <t>A3-032</t>
  </si>
  <si>
    <t>A3-033</t>
  </si>
  <si>
    <t>A3-035</t>
  </si>
  <si>
    <t>6th Drawdown Amount Paid</t>
  </si>
  <si>
    <t>7th Drawdown Amount Paid</t>
  </si>
  <si>
    <t>Adjustment pursuant to previous drawdown 
(INR)</t>
  </si>
  <si>
    <t>8th Drawdown Amount Paid</t>
  </si>
  <si>
    <t>9th Drawdown Amount Paid</t>
  </si>
  <si>
    <t>Format - Resident investors</t>
  </si>
  <si>
    <t>E-001</t>
  </si>
  <si>
    <t>10th Drawdown Amount Paid</t>
  </si>
  <si>
    <t>C-007</t>
  </si>
  <si>
    <t>C-008</t>
  </si>
  <si>
    <t>C-009</t>
  </si>
  <si>
    <t>A5-001</t>
  </si>
  <si>
    <t>A5</t>
  </si>
  <si>
    <t>Pending from previous contribution</t>
  </si>
  <si>
    <t>% of the Capital commitment drawn down till date</t>
  </si>
  <si>
    <r>
      <t>The undersigned refers to the Contribution Agreement dated May 26, 2023, (hereinafter referred to as the “Contribution Agreement”), and hereby gives you notice,</t>
    </r>
    <r>
      <rPr>
        <sz val="12"/>
        <color theme="5"/>
        <rFont val="Times New Roman"/>
        <family val="1"/>
      </rPr>
      <t xml:space="preserve"> </t>
    </r>
    <r>
      <rPr>
        <sz val="12"/>
        <color indexed="8"/>
        <rFont val="Times New Roman"/>
        <family val="1"/>
      </rPr>
      <t>pursuant to the Contribution Agreement, that the undersigned hereby requests the Drawdown, and in that connection sets forth below the information relating to such Drawdown</t>
    </r>
    <r>
      <rPr>
        <sz val="12"/>
        <color theme="5"/>
        <rFont val="Times New Roman"/>
        <family val="1"/>
      </rPr>
      <t xml:space="preserve"> </t>
    </r>
    <r>
      <rPr>
        <sz val="12"/>
        <color indexed="8"/>
        <rFont val="Times New Roman"/>
        <family val="1"/>
      </rPr>
      <t>as required under the Contribution Agreement.</t>
    </r>
  </si>
  <si>
    <t>The undersigned refers to the Contribution Agreement dated August 30, 2024,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</si>
  <si>
    <t>The undersigned refers to the Contribution Agreement dated January 10, 2025,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</si>
  <si>
    <r>
      <t>The undersigned refers to the Contribution Agreement dated January 10, 2025 (hereinafter referred to as the “Contribution Agreement”), and hereby gives you notice,</t>
    </r>
    <r>
      <rPr>
        <sz val="12"/>
        <color theme="5"/>
        <rFont val="Times New Roman"/>
        <family val="1"/>
      </rPr>
      <t xml:space="preserve"> </t>
    </r>
    <r>
      <rPr>
        <sz val="12"/>
        <color indexed="8"/>
        <rFont val="Times New Roman"/>
        <family val="1"/>
      </rPr>
      <t>pursuant to the Contribution Agreement, that the undersigned hereby requests the Drawdown, and in that connection sets forth below the information relating to such Drawdown</t>
    </r>
    <r>
      <rPr>
        <sz val="12"/>
        <color theme="5"/>
        <rFont val="Times New Roman"/>
        <family val="1"/>
      </rPr>
      <t xml:space="preserve"> </t>
    </r>
    <r>
      <rPr>
        <sz val="12"/>
        <color indexed="8"/>
        <rFont val="Times New Roman"/>
        <family val="1"/>
      </rPr>
      <t>as required under the Contribution Agreement.</t>
    </r>
  </si>
  <si>
    <r>
      <t>The undersigned refers to the Contribution Agreement dated September 30, 2025 (hereinafter referred to as the “Contribution Agreement”), and hereby gives you notice,</t>
    </r>
    <r>
      <rPr>
        <sz val="12"/>
        <color theme="5"/>
        <rFont val="Times New Roman"/>
        <family val="1"/>
      </rPr>
      <t xml:space="preserve"> </t>
    </r>
    <r>
      <rPr>
        <sz val="12"/>
        <color indexed="8"/>
        <rFont val="Times New Roman"/>
        <family val="1"/>
      </rPr>
      <t>pursuant to the Contribution Agreement, that the undersigned hereby requests the Drawdown, and in that connection sets forth below the information relating to such Drawdown</t>
    </r>
    <r>
      <rPr>
        <sz val="12"/>
        <color theme="5"/>
        <rFont val="Times New Roman"/>
        <family val="1"/>
      </rPr>
      <t xml:space="preserve"> </t>
    </r>
    <r>
      <rPr>
        <sz val="12"/>
        <color indexed="8"/>
        <rFont val="Times New Roman"/>
        <family val="1"/>
      </rPr>
      <t>as required under the Contribution Agreement.</t>
    </r>
  </si>
  <si>
    <r>
      <t>The undersigned refers to the Contribution Agreement dated September 29, 2025, (hereinafter referred to as the “Contribution Agreement”), and hereby gives you notice,</t>
    </r>
    <r>
      <rPr>
        <sz val="12"/>
        <color theme="5"/>
        <rFont val="Times New Roman"/>
        <family val="1"/>
      </rPr>
      <t xml:space="preserve"> </t>
    </r>
    <r>
      <rPr>
        <sz val="12"/>
        <color indexed="8"/>
        <rFont val="Times New Roman"/>
        <family val="1"/>
      </rPr>
      <t>pursuant to the Contribution Agreement, that the undersigned hereby requests the Drawdown, and in that connection sets forth below the information relating to such Drawdown</t>
    </r>
    <r>
      <rPr>
        <sz val="12"/>
        <color theme="5"/>
        <rFont val="Times New Roman"/>
        <family val="1"/>
      </rPr>
      <t xml:space="preserve"> </t>
    </r>
    <r>
      <rPr>
        <sz val="12"/>
        <color indexed="8"/>
        <rFont val="Times New Roman"/>
        <family val="1"/>
      </rPr>
      <t>as required under the Contribution Agreement.</t>
    </r>
  </si>
  <si>
    <t>C-0010</t>
  </si>
  <si>
    <t>C-0011</t>
  </si>
  <si>
    <t>C-0012</t>
  </si>
  <si>
    <t>11th Drawdown Amount Paid</t>
  </si>
  <si>
    <t>12th Drawdown Amount Paid</t>
  </si>
  <si>
    <t>13th Drawdown Amount Paid</t>
  </si>
  <si>
    <t>E</t>
  </si>
  <si>
    <t>14th Drawdown Amount Paid</t>
  </si>
  <si>
    <t>15th Drawdown Amount Payable</t>
  </si>
  <si>
    <t>15th Drawdown Amount Called</t>
  </si>
  <si>
    <t>Date: 11 June 2026</t>
  </si>
  <si>
    <t>Capital contribution pursuant to the 15th Drawdown 
(INR)</t>
  </si>
  <si>
    <t>Capital contribution (after adjustment, if any) pursuant to the 15th Drawdown 
(INR)</t>
  </si>
  <si>
    <t>Total capital contribution pursuant to the 15th Drawdown 
(INR)</t>
  </si>
  <si>
    <t>Date for the 15th Drawdown</t>
  </si>
  <si>
    <t>CLIENT NAME AND ADDRESS</t>
  </si>
  <si>
    <t xml:space="preserve">The payment towards capital contribution for the 15th drawdown is to be made in the bank account of XYZ FUND within 15 Business Days from the date of issue of this Drawdown Notice i.e. on or before </t>
  </si>
  <si>
    <t>Re: Notice of 15th Drawdown for XYZ FUND ('the Fund')</t>
  </si>
  <si>
    <t>Capital commitment to XYZ FUND
(INR)</t>
  </si>
  <si>
    <t>XYZ FUND</t>
  </si>
  <si>
    <t>The capital contribution for the current Drawdown will be applied towards portfolio investment in ABC Private Limited, Management Fees for the period 1st July 2026 to 30th September 2026 and Fund expenses.</t>
  </si>
  <si>
    <t>Sd/-
Designated Partner</t>
  </si>
  <si>
    <t>For ___________________LLP
(On behalf of  XYZ FUND)</t>
  </si>
  <si>
    <r>
      <t xml:space="preserve">Once the payment is done, kindly inform us on our email id </t>
    </r>
    <r>
      <rPr>
        <u/>
        <sz val="12"/>
        <color rgb="FF0070C0"/>
        <rFont val="Times New Roman"/>
        <family val="1"/>
      </rPr>
      <t>abc@gmail.com</t>
    </r>
    <r>
      <rPr>
        <sz val="12"/>
        <color indexed="8"/>
        <rFont val="Times New Roman"/>
        <family val="1"/>
      </rPr>
      <t>, the following details of your remittance as under:</t>
    </r>
  </si>
  <si>
    <t xml:space="preserve">Correspondent Bank: 
Correspondent Bank SWIFT CODE: 
Correspondent Bank Account number: 
Beneficiary Bank Account number: </t>
  </si>
  <si>
    <t>Format - NRIs</t>
  </si>
  <si>
    <t>Format - 3rd close NR inves</t>
  </si>
  <si>
    <t>Format - 2nd close NR inves</t>
  </si>
  <si>
    <t>Format - LDC's</t>
  </si>
  <si>
    <t>Format - 2nd close R investors</t>
  </si>
  <si>
    <t>Format - 3rd close R invest</t>
  </si>
  <si>
    <t>Format - Institutional Inv</t>
  </si>
  <si>
    <t>Format - R Inv (Empl &amp; Sponsor)</t>
  </si>
  <si>
    <t>Format - Final close Employee</t>
  </si>
  <si>
    <t>Once the payment is done, kindly inform us on our email id abc@gmail.com, the following details of your remittance as under:</t>
  </si>
  <si>
    <t>The capital contribution for the current Drawdown will be applied towards portfolio investment in ABC Private Limited and Fund expenses.</t>
  </si>
  <si>
    <t>Formats for DD Notice</t>
  </si>
  <si>
    <t>Email ID's</t>
  </si>
  <si>
    <t>Particulars</t>
  </si>
  <si>
    <t>Instructions to get the drawdown notice file automated and shared to respective class of investors</t>
  </si>
  <si>
    <t>Steps</t>
  </si>
  <si>
    <t>Based on working file the formats for drawdown is categorised and information needs to be incoroporated from working tab to respetive format tab in cells highlihgted in yellow</t>
  </si>
  <si>
    <t>Client Name and address is to be added. Kindly ensure to give a letterhead format in the notice. You can add the following details:
Nangia &amp; Co LLP
4th Floor, Iconic Tower, URMI Estate, Ganpat Rao Kadam Marg, Lower Parel- 400013, India</t>
  </si>
  <si>
    <t>reflects Class</t>
  </si>
  <si>
    <t>reflects Folio No</t>
  </si>
  <si>
    <t>Investor name</t>
  </si>
  <si>
    <t>Investor address</t>
  </si>
  <si>
    <t>Cloumn 9 of working tab</t>
  </si>
  <si>
    <t>Column 10 of working tab</t>
  </si>
  <si>
    <t>Column 12 of working tab</t>
  </si>
  <si>
    <t>Column 23 of working tab</t>
  </si>
  <si>
    <t>Column 38 of working tab</t>
  </si>
  <si>
    <t>Add information from working tab against each column</t>
  </si>
  <si>
    <t>Add client email ID</t>
  </si>
  <si>
    <t>Input Client Name and address</t>
  </si>
  <si>
    <t>Column 14 of working tab</t>
  </si>
  <si>
    <t>Column 13 of working tab</t>
  </si>
  <si>
    <t>Column 16 of working tab</t>
  </si>
  <si>
    <t>Column 17 of working tab</t>
  </si>
  <si>
    <t>Refer comments in Column G of "Format - Resident investors" for data flow from working tab</t>
  </si>
  <si>
    <t>In "Format - LDC's" there is some additional informtaion to be provided so have added comments in those columns and can link it to working tab</t>
  </si>
  <si>
    <t>Once data is filled in respctive formats, then PDF is required to be generated for all investors basis their format and classes.</t>
  </si>
  <si>
    <t>Kindly convert the files and keep them ready to share emails to each investors after converting the notices in pdf format at one go. For emails to each investor, you can create a dummy email for each one of them and show that the mails are also shared with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</si>
</sst>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_ * #,##0_ ;_ * \-#,##0_ ;_ * &quot;-&quot;??_ ;_ @_ "/>
    <numFmt numFmtId="166" formatCode="[$-14009]dd\ mmmm\ yyyy;@"/>
    <numFmt numFmtId="167" formatCode="_(* #,##0_);_(* \(#,##0\);_(* &quot;-&quot;??_);_(@_)"/>
    <numFmt numFmtId="168" formatCode="[$-F800]dddd\,\ mmmm\ dd\,\ yyyy"/>
    <numFmt numFmtId="169" formatCode="0.0000%"/>
    <numFmt numFmtId="170" formatCode="_ * #,##0.000_ ;_ * \-#,##0.000_ ;_ * &quot;-&quot;??_ ;_ @_ "/>
  </numFmts>
  <fonts count="20" x14ac:knownFonts="1">
    <font>
      <sz val="11"/>
      <color theme="1"/>
      <name val="Calibri"/>
      <family val="2"/>
      <scheme val="minor"/>
    </font>
    <font>
      <sz val="11"/>
      <color theme="1"/>
      <name val="Calibri"/>
      <family val="2"/>
      <scheme val="minor"/>
    </font>
    <font>
      <sz val="12"/>
      <color indexed="8"/>
      <name val="Times New Roman"/>
      <family val="1"/>
    </font>
    <font>
      <b/>
      <sz val="12"/>
      <color indexed="8"/>
      <name val="Times New Roman"/>
      <family val="1"/>
    </font>
    <font>
      <sz val="12"/>
      <color rgb="FF000000"/>
      <name val="Times New Roman"/>
      <family val="1"/>
    </font>
    <font>
      <sz val="12"/>
      <name val="Times New Roman"/>
      <family val="1"/>
    </font>
    <font>
      <b/>
      <sz val="12"/>
      <color rgb="FFFF0000"/>
      <name val="Times New Roman"/>
      <family val="1"/>
    </font>
    <font>
      <b/>
      <sz val="11"/>
      <color theme="1"/>
      <name val="Calibri"/>
      <family val="2"/>
      <scheme val="minor"/>
    </font>
    <font>
      <sz val="12"/>
      <color theme="5"/>
      <name val="Times New Roman"/>
      <family val="1"/>
    </font>
    <font>
      <sz val="12"/>
      <color theme="1"/>
      <name val="Times New Roman"/>
      <family val="1"/>
    </font>
    <font>
      <u/>
      <sz val="12"/>
      <color rgb="FF0070C0"/>
      <name val="Times New Roman"/>
      <family val="1"/>
    </font>
    <font>
      <sz val="11"/>
      <color indexed="8"/>
      <name val="Calibri"/>
      <family val="2"/>
      <scheme val="minor"/>
    </font>
    <font>
      <b/>
      <sz val="11"/>
      <color theme="9"/>
      <name val="Calibri"/>
      <family val="2"/>
      <scheme val="minor"/>
    </font>
    <font>
      <b/>
      <sz val="11"/>
      <color indexed="8"/>
      <name val="Calibri"/>
      <family val="2"/>
      <scheme val="minor"/>
    </font>
    <font>
      <b/>
      <sz val="11"/>
      <color rgb="FFFF0000"/>
      <name val="Calibri"/>
      <family val="2"/>
      <scheme val="minor"/>
    </font>
    <font>
      <b/>
      <sz val="11"/>
      <name val="Calibri"/>
      <family val="2"/>
      <scheme val="minor"/>
    </font>
    <font>
      <sz val="11"/>
      <name val="Calibri"/>
      <family val="2"/>
      <scheme val="minor"/>
    </font>
    <font>
      <b/>
      <sz val="22"/>
      <color rgb="FFFF0000"/>
      <name val="Times New Roman"/>
      <family val="1"/>
    </font>
    <font>
      <sz val="22"/>
      <color rgb="FFFF0000"/>
      <name val="Times New Roman"/>
      <family val="1"/>
    </font>
    <font>
      <sz val="20"/>
      <color rgb="FFFF000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cellStyleXfs>
  <cellXfs count="88">
    <xf numFmtId="0" fontId="0" fillId="0" borderId="0" xfId="0"/>
    <xf numFmtId="0" fontId="2" fillId="2" borderId="0" xfId="0" applyFont="1" applyFill="1" applyAlignment="1">
      <alignment horizontal="left" vertical="top" wrapText="1"/>
    </xf>
    <xf numFmtId="0" fontId="2" fillId="2" borderId="0" xfId="0" applyFont="1" applyFill="1" applyAlignment="1">
      <alignment horizontal="left" vertical="top"/>
    </xf>
    <xf numFmtId="0" fontId="2" fillId="0" borderId="0" xfId="0" applyFont="1" applyAlignment="1">
      <alignment vertical="top" wrapText="1"/>
    </xf>
    <xf numFmtId="0" fontId="2" fillId="2" borderId="1" xfId="0" applyFont="1" applyFill="1" applyBorder="1" applyAlignment="1">
      <alignment horizontal="left" vertical="top" wrapText="1"/>
    </xf>
    <xf numFmtId="167" fontId="2" fillId="2" borderId="1" xfId="1" applyNumberFormat="1" applyFont="1" applyFill="1" applyBorder="1" applyAlignment="1" applyProtection="1">
      <alignment horizontal="right" vertical="top" wrapText="1"/>
    </xf>
    <xf numFmtId="167" fontId="2" fillId="2" borderId="0" xfId="1" applyNumberFormat="1" applyFont="1" applyFill="1" applyBorder="1" applyAlignment="1" applyProtection="1">
      <alignment horizontal="right" vertical="top" wrapText="1"/>
    </xf>
    <xf numFmtId="0" fontId="2" fillId="2" borderId="1" xfId="0" applyFont="1" applyFill="1" applyBorder="1" applyAlignment="1">
      <alignment horizontal="right" vertical="top" wrapText="1"/>
    </xf>
    <xf numFmtId="0" fontId="2" fillId="2" borderId="0" xfId="0" applyFont="1" applyFill="1" applyAlignment="1">
      <alignment horizontal="right" vertical="top" wrapText="1"/>
    </xf>
    <xf numFmtId="0" fontId="2" fillId="2" borderId="0" xfId="0" applyFont="1" applyFill="1" applyAlignment="1">
      <alignment horizontal="justify" vertical="top" wrapText="1"/>
    </xf>
    <xf numFmtId="10" fontId="2" fillId="2" borderId="0" xfId="2" applyNumberFormat="1" applyFont="1" applyFill="1" applyAlignment="1">
      <alignment horizontal="left" vertical="top"/>
    </xf>
    <xf numFmtId="0" fontId="2" fillId="0" borderId="0" xfId="0" applyFont="1" applyAlignment="1">
      <alignment horizontal="left" vertical="top" wrapText="1"/>
    </xf>
    <xf numFmtId="0" fontId="4" fillId="2" borderId="1" xfId="0" applyFont="1" applyFill="1" applyBorder="1" applyAlignment="1">
      <alignment horizontal="center" vertical="top" wrapText="1"/>
    </xf>
    <xf numFmtId="0" fontId="6" fillId="2" borderId="0" xfId="0" applyFont="1" applyFill="1" applyAlignment="1">
      <alignment horizontal="left" vertical="top"/>
    </xf>
    <xf numFmtId="14" fontId="2" fillId="2" borderId="0" xfId="0" applyNumberFormat="1" applyFont="1" applyFill="1" applyAlignment="1">
      <alignment horizontal="left" vertical="top"/>
    </xf>
    <xf numFmtId="165" fontId="2" fillId="2" borderId="0" xfId="0" applyNumberFormat="1" applyFont="1" applyFill="1" applyAlignment="1">
      <alignment horizontal="left" vertical="top"/>
    </xf>
    <xf numFmtId="0" fontId="2" fillId="2" borderId="0" xfId="0" applyFont="1" applyFill="1" applyAlignment="1">
      <alignment vertical="top" wrapText="1"/>
    </xf>
    <xf numFmtId="0" fontId="5" fillId="0" borderId="1" xfId="0" applyFont="1" applyBorder="1" applyAlignment="1">
      <alignment horizontal="center" vertical="top" wrapText="1"/>
    </xf>
    <xf numFmtId="0" fontId="9" fillId="0" borderId="0" xfId="0" applyFont="1" applyAlignment="1">
      <alignment horizontal="justify" vertical="center"/>
    </xf>
    <xf numFmtId="0" fontId="4" fillId="2" borderId="0" xfId="0" applyFont="1" applyFill="1" applyAlignment="1">
      <alignment vertical="top" wrapText="1"/>
    </xf>
    <xf numFmtId="0" fontId="2" fillId="2" borderId="0" xfId="0" applyFont="1" applyFill="1" applyAlignment="1">
      <alignment vertical="top"/>
    </xf>
    <xf numFmtId="167" fontId="2" fillId="2" borderId="2" xfId="1" applyNumberFormat="1" applyFont="1" applyFill="1" applyBorder="1" applyAlignment="1" applyProtection="1">
      <alignment vertical="top" wrapText="1"/>
    </xf>
    <xf numFmtId="167" fontId="2" fillId="2" borderId="0" xfId="1" applyNumberFormat="1" applyFont="1" applyFill="1" applyBorder="1" applyAlignment="1" applyProtection="1">
      <alignment vertical="top" wrapText="1"/>
    </xf>
    <xf numFmtId="0" fontId="2" fillId="2" borderId="0" xfId="0" applyFont="1" applyFill="1" applyAlignment="1">
      <alignment horizontal="center" vertical="top" wrapText="1"/>
    </xf>
    <xf numFmtId="164" fontId="2" fillId="2" borderId="0" xfId="1" applyFont="1" applyFill="1" applyBorder="1" applyAlignment="1" applyProtection="1">
      <alignment horizontal="center" vertical="top" wrapText="1"/>
    </xf>
    <xf numFmtId="0" fontId="5" fillId="0" borderId="5" xfId="0" applyFont="1" applyBorder="1" applyAlignment="1">
      <alignment vertical="top" wrapText="1"/>
    </xf>
    <xf numFmtId="0" fontId="0" fillId="0" borderId="0" xfId="0" applyAlignment="1">
      <alignment vertical="top"/>
    </xf>
    <xf numFmtId="0" fontId="11" fillId="0" borderId="1" xfId="3" applyFont="1" applyBorder="1" applyAlignment="1">
      <alignment horizontal="left" vertical="top" wrapText="1"/>
    </xf>
    <xf numFmtId="167" fontId="0" fillId="0" borderId="1" xfId="1" applyNumberFormat="1" applyFont="1" applyFill="1" applyBorder="1" applyAlignment="1">
      <alignment horizontal="left" vertical="top" wrapText="1"/>
    </xf>
    <xf numFmtId="165" fontId="11" fillId="0" borderId="1" xfId="1" applyNumberFormat="1" applyFont="1" applyFill="1" applyBorder="1" applyAlignment="1" applyProtection="1">
      <alignment horizontal="left" vertical="top" wrapText="1"/>
    </xf>
    <xf numFmtId="0" fontId="12" fillId="0" borderId="0" xfId="0" applyFont="1" applyAlignment="1">
      <alignment horizontal="center" vertical="top" wrapText="1"/>
    </xf>
    <xf numFmtId="0" fontId="11" fillId="0" borderId="0" xfId="0" applyFont="1" applyAlignment="1">
      <alignment horizontal="left" vertical="top" wrapText="1"/>
    </xf>
    <xf numFmtId="0" fontId="13" fillId="0" borderId="1" xfId="0" applyFont="1" applyBorder="1" applyAlignment="1">
      <alignment horizontal="center" vertical="top" wrapText="1"/>
    </xf>
    <xf numFmtId="0" fontId="13" fillId="0" borderId="0" xfId="0" applyFont="1" applyAlignment="1">
      <alignment horizontal="center" vertical="top" wrapText="1"/>
    </xf>
    <xf numFmtId="0" fontId="11" fillId="0" borderId="0" xfId="0" applyFont="1" applyAlignment="1">
      <alignment horizontal="center" vertical="top" wrapText="1"/>
    </xf>
    <xf numFmtId="0" fontId="11" fillId="0" borderId="1" xfId="0" applyFont="1" applyBorder="1" applyAlignment="1">
      <alignment horizontal="left" vertical="top" wrapText="1"/>
    </xf>
    <xf numFmtId="166" fontId="0" fillId="0" borderId="1" xfId="1" applyNumberFormat="1" applyFont="1" applyFill="1" applyBorder="1" applyAlignment="1">
      <alignment horizontal="left" vertical="top" wrapText="1"/>
    </xf>
    <xf numFmtId="169" fontId="0" fillId="0" borderId="1" xfId="2" applyNumberFormat="1" applyFont="1" applyFill="1" applyBorder="1" applyAlignment="1">
      <alignment horizontal="left" vertical="top" wrapText="1"/>
    </xf>
    <xf numFmtId="164" fontId="11" fillId="0" borderId="0" xfId="1" applyFont="1" applyAlignment="1">
      <alignment horizontal="left" vertical="top" wrapText="1"/>
    </xf>
    <xf numFmtId="164" fontId="11" fillId="0" borderId="0" xfId="1" applyFont="1" applyFill="1" applyAlignment="1">
      <alignment horizontal="left" vertical="top" wrapText="1"/>
    </xf>
    <xf numFmtId="167" fontId="11" fillId="0" borderId="0" xfId="0" applyNumberFormat="1" applyFont="1" applyAlignment="1">
      <alignment horizontal="left" vertical="top" wrapText="1"/>
    </xf>
    <xf numFmtId="164" fontId="11" fillId="0" borderId="0" xfId="0" applyNumberFormat="1" applyFont="1" applyAlignment="1">
      <alignment horizontal="left" vertical="top" wrapText="1"/>
    </xf>
    <xf numFmtId="167" fontId="7" fillId="0" borderId="1" xfId="1" applyNumberFormat="1" applyFont="1" applyFill="1" applyBorder="1" applyAlignment="1">
      <alignment horizontal="left" vertical="top" wrapText="1"/>
    </xf>
    <xf numFmtId="167" fontId="13" fillId="0" borderId="0" xfId="0" applyNumberFormat="1" applyFont="1" applyAlignment="1">
      <alignment horizontal="left" vertical="top" wrapText="1"/>
    </xf>
    <xf numFmtId="165" fontId="11" fillId="0" borderId="0" xfId="1" applyNumberFormat="1" applyFont="1" applyFill="1" applyAlignment="1">
      <alignment horizontal="left" vertical="top" wrapText="1"/>
    </xf>
    <xf numFmtId="170" fontId="11" fillId="0" borderId="0" xfId="1" applyNumberFormat="1" applyFont="1" applyFill="1" applyAlignment="1">
      <alignment horizontal="left" vertical="top" wrapText="1"/>
    </xf>
    <xf numFmtId="164" fontId="2" fillId="2" borderId="0" xfId="1" applyFont="1" applyFill="1" applyAlignment="1">
      <alignment horizontal="left" vertical="top"/>
    </xf>
    <xf numFmtId="168" fontId="3" fillId="2" borderId="0" xfId="0" applyNumberFormat="1" applyFont="1" applyFill="1" applyAlignment="1">
      <alignment horizontal="left" vertical="top"/>
    </xf>
    <xf numFmtId="0" fontId="3" fillId="2" borderId="0" xfId="0" applyFont="1" applyFill="1" applyAlignment="1">
      <alignment horizontal="left" vertical="top"/>
    </xf>
    <xf numFmtId="165" fontId="4" fillId="2" borderId="0" xfId="0" applyNumberFormat="1" applyFont="1" applyFill="1" applyAlignment="1">
      <alignment vertical="top" wrapText="1"/>
    </xf>
    <xf numFmtId="0" fontId="14" fillId="0" borderId="1" xfId="0" applyFont="1" applyBorder="1" applyAlignment="1">
      <alignment horizontal="center" vertical="top" wrapText="1"/>
    </xf>
    <xf numFmtId="9" fontId="11" fillId="0" borderId="0" xfId="2" applyFont="1" applyFill="1" applyAlignment="1">
      <alignment horizontal="left" vertical="top" wrapText="1"/>
    </xf>
    <xf numFmtId="0" fontId="15" fillId="0" borderId="1" xfId="0" applyFont="1" applyBorder="1" applyAlignment="1">
      <alignment horizontal="center" vertical="top" wrapText="1"/>
    </xf>
    <xf numFmtId="167" fontId="16" fillId="0" borderId="1" xfId="1" applyNumberFormat="1" applyFont="1" applyFill="1" applyBorder="1" applyAlignment="1">
      <alignment horizontal="left" vertical="top" wrapText="1"/>
    </xf>
    <xf numFmtId="0" fontId="2" fillId="0" borderId="0" xfId="0" applyFont="1" applyAlignment="1">
      <alignment horizontal="center" vertical="top" wrapText="1"/>
    </xf>
    <xf numFmtId="0" fontId="2" fillId="3" borderId="0" xfId="0" applyFont="1" applyFill="1" applyAlignment="1">
      <alignment horizontal="left" vertical="top" wrapText="1"/>
    </xf>
    <xf numFmtId="165" fontId="2" fillId="3" borderId="1" xfId="1" applyNumberFormat="1" applyFont="1" applyFill="1" applyBorder="1" applyAlignment="1" applyProtection="1">
      <alignment horizontal="right" vertical="top" wrapText="1"/>
    </xf>
    <xf numFmtId="10" fontId="2" fillId="3" borderId="1" xfId="1" applyNumberFormat="1" applyFont="1" applyFill="1" applyBorder="1" applyAlignment="1" applyProtection="1">
      <alignment horizontal="right" vertical="top" wrapText="1"/>
    </xf>
    <xf numFmtId="0" fontId="5" fillId="3" borderId="0" xfId="0" applyFont="1" applyFill="1" applyAlignment="1">
      <alignment horizontal="justify" vertical="top" wrapText="1"/>
    </xf>
    <xf numFmtId="167" fontId="2" fillId="3" borderId="1" xfId="1" applyNumberFormat="1" applyFont="1" applyFill="1" applyBorder="1" applyAlignment="1" applyProtection="1">
      <alignment horizontal="right" vertical="top" wrapText="1"/>
    </xf>
    <xf numFmtId="0" fontId="2" fillId="0" borderId="0" xfId="0" applyFont="1" applyAlignment="1">
      <alignment horizontal="justify" vertical="top" wrapText="1"/>
    </xf>
    <xf numFmtId="164" fontId="11" fillId="0" borderId="1" xfId="1" applyFont="1" applyBorder="1" applyAlignment="1">
      <alignment horizontal="left" vertical="top" wrapText="1"/>
    </xf>
    <xf numFmtId="0" fontId="0" fillId="0" borderId="0" xfId="0" applyAlignment="1">
      <alignment horizontal="justify" vertical="top"/>
    </xf>
    <xf numFmtId="0" fontId="0" fillId="0" borderId="0" xfId="0" applyAlignment="1">
      <alignment horizontal="center" vertical="center"/>
    </xf>
    <xf numFmtId="0" fontId="0" fillId="0" borderId="0" xfId="0" applyAlignment="1">
      <alignment horizontal="justify" vertical="top" wrapText="1"/>
    </xf>
    <xf numFmtId="0" fontId="2" fillId="2" borderId="0" xfId="0" applyFont="1" applyFill="1" applyAlignment="1">
      <alignment horizontal="left" vertical="top" wrapText="1"/>
    </xf>
    <xf numFmtId="0" fontId="3" fillId="2" borderId="0" xfId="0" applyFont="1" applyFill="1" applyAlignment="1">
      <alignment horizontal="center" vertical="top" wrapText="1"/>
    </xf>
    <xf numFmtId="0" fontId="2" fillId="3" borderId="0" xfId="0" applyFont="1" applyFill="1" applyAlignment="1">
      <alignment horizontal="center" vertical="top" wrapText="1"/>
    </xf>
    <xf numFmtId="0" fontId="2" fillId="3" borderId="0" xfId="0" applyFont="1" applyFill="1" applyAlignment="1">
      <alignment horizontal="left" vertical="top" wrapText="1"/>
    </xf>
    <xf numFmtId="0" fontId="3" fillId="3" borderId="0" xfId="0" applyFont="1" applyFill="1" applyAlignment="1">
      <alignment horizontal="left" vertical="top" wrapText="1"/>
    </xf>
    <xf numFmtId="0" fontId="2" fillId="2" borderId="0" xfId="0" applyFont="1" applyFill="1" applyAlignment="1">
      <alignment horizontal="justify" vertical="top" wrapText="1"/>
    </xf>
    <xf numFmtId="0" fontId="5" fillId="3" borderId="0" xfId="0" applyFont="1" applyFill="1" applyAlignment="1">
      <alignment horizontal="justify" vertical="top" wrapText="1"/>
    </xf>
    <xf numFmtId="0" fontId="2" fillId="3" borderId="0" xfId="0" applyFont="1" applyFill="1" applyAlignment="1">
      <alignment horizontal="justify" vertical="top" wrapText="1"/>
    </xf>
    <xf numFmtId="0" fontId="17" fillId="2" borderId="0" xfId="0" applyFont="1" applyFill="1" applyAlignment="1">
      <alignment horizontal="center" vertical="center" wrapText="1"/>
    </xf>
    <xf numFmtId="0" fontId="18" fillId="2" borderId="0" xfId="0" applyFont="1" applyFill="1" applyAlignment="1">
      <alignment horizontal="center" vertical="center" wrapText="1"/>
    </xf>
    <xf numFmtId="0" fontId="2" fillId="2" borderId="0" xfId="0" applyFont="1" applyFill="1" applyAlignment="1">
      <alignment vertical="top" wrapText="1"/>
    </xf>
    <xf numFmtId="0" fontId="9" fillId="0" borderId="0" xfId="0" applyFont="1" applyAlignment="1">
      <alignment horizontal="left" vertical="center"/>
    </xf>
    <xf numFmtId="0" fontId="19" fillId="2" borderId="0" xfId="0" applyFont="1" applyFill="1" applyAlignment="1">
      <alignment horizontal="center" vertical="center" wrapText="1"/>
    </xf>
    <xf numFmtId="0" fontId="2" fillId="0" borderId="0" xfId="0" applyFont="1" applyAlignment="1">
      <alignment horizontal="center" vertical="top" wrapText="1"/>
    </xf>
    <xf numFmtId="165" fontId="2" fillId="3" borderId="3" xfId="1" applyNumberFormat="1" applyFont="1" applyFill="1" applyBorder="1" applyAlignment="1" applyProtection="1">
      <alignment horizontal="center" vertical="top" wrapText="1"/>
    </xf>
    <xf numFmtId="165" fontId="2" fillId="3" borderId="4" xfId="1" applyNumberFormat="1" applyFont="1" applyFill="1" applyBorder="1" applyAlignment="1" applyProtection="1">
      <alignment horizontal="center" vertical="top" wrapText="1"/>
    </xf>
    <xf numFmtId="0" fontId="2" fillId="2" borderId="0" xfId="0" applyFont="1" applyFill="1" applyAlignment="1">
      <alignment horizontal="center" vertical="top" wrapText="1"/>
    </xf>
    <xf numFmtId="0" fontId="4" fillId="2" borderId="3" xfId="0" applyFont="1" applyFill="1" applyBorder="1" applyAlignment="1">
      <alignment horizontal="center" vertical="top" wrapText="1"/>
    </xf>
    <xf numFmtId="0" fontId="4" fillId="2" borderId="4" xfId="0" applyFont="1" applyFill="1" applyBorder="1" applyAlignment="1">
      <alignment horizontal="center" vertical="top" wrapText="1"/>
    </xf>
    <xf numFmtId="0" fontId="5" fillId="0" borderId="0" xfId="0" applyFont="1" applyAlignment="1">
      <alignment horizontal="justify" vertical="top" wrapText="1"/>
    </xf>
    <xf numFmtId="0" fontId="4" fillId="2" borderId="1" xfId="0" applyFont="1" applyFill="1" applyBorder="1" applyAlignment="1">
      <alignment horizontal="center" vertical="top" wrapText="1"/>
    </xf>
    <xf numFmtId="0" fontId="5" fillId="0" borderId="6" xfId="0" applyFont="1" applyBorder="1" applyAlignment="1">
      <alignment horizontal="center" vertical="top" wrapText="1"/>
    </xf>
    <xf numFmtId="0" fontId="5" fillId="2" borderId="0" xfId="0" applyFont="1" applyFill="1" applyAlignment="1">
      <alignment horizontal="justify" vertical="top" wrapText="1"/>
    </xf>
  </cellXfs>
  <cellStyles count="4">
    <cellStyle name="Comma" xfId="1" builtinId="3"/>
    <cellStyle name="Normal" xfId="0" builtinId="0"/>
    <cellStyle name="Normal 2"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D3384-E6FE-4CBA-9A5F-F6B5547D7FF3}">
  <dimension ref="A1:B9"/>
  <sheetViews>
    <sheetView tabSelected="1" workbookViewId="0">
      <selection activeCell="B10" sqref="B10"/>
    </sheetView>
  </sheetViews>
  <sheetFormatPr defaultRowHeight="14.5" x14ac:dyDescent="0.35"/>
  <cols>
    <col min="1" max="1" width="8.7265625" style="63"/>
    <col min="2" max="2" width="77.08984375" style="62" customWidth="1"/>
    <col min="3" max="16384" width="8.7265625" style="26"/>
  </cols>
  <sheetData>
    <row r="1" spans="1:2" x14ac:dyDescent="0.35">
      <c r="A1" s="26" t="s">
        <v>169</v>
      </c>
    </row>
    <row r="2" spans="1:2" x14ac:dyDescent="0.35">
      <c r="A2" s="26"/>
    </row>
    <row r="3" spans="1:2" x14ac:dyDescent="0.35">
      <c r="A3" s="26" t="s">
        <v>170</v>
      </c>
      <c r="B3" s="62" t="s">
        <v>168</v>
      </c>
    </row>
    <row r="4" spans="1:2" ht="29" x14ac:dyDescent="0.35">
      <c r="A4" s="63">
        <f>ROW()-3</f>
        <v>1</v>
      </c>
      <c r="B4" s="62" t="s">
        <v>171</v>
      </c>
    </row>
    <row r="5" spans="1:2" ht="58" x14ac:dyDescent="0.35">
      <c r="A5" s="63">
        <f t="shared" ref="A5:A9" si="0">ROW()-3</f>
        <v>2</v>
      </c>
      <c r="B5" s="64" t="s">
        <v>172</v>
      </c>
    </row>
    <row r="6" spans="1:2" ht="29" x14ac:dyDescent="0.35">
      <c r="A6" s="63">
        <f t="shared" si="0"/>
        <v>3</v>
      </c>
      <c r="B6" s="62" t="s">
        <v>189</v>
      </c>
    </row>
    <row r="7" spans="1:2" ht="29" x14ac:dyDescent="0.35">
      <c r="A7" s="63">
        <f t="shared" si="0"/>
        <v>4</v>
      </c>
      <c r="B7" s="62" t="s">
        <v>190</v>
      </c>
    </row>
    <row r="8" spans="1:2" ht="29" x14ac:dyDescent="0.35">
      <c r="A8" s="63">
        <f t="shared" si="0"/>
        <v>5</v>
      </c>
      <c r="B8" s="62" t="s">
        <v>191</v>
      </c>
    </row>
    <row r="9" spans="1:2" ht="43.5" x14ac:dyDescent="0.35">
      <c r="A9" s="63">
        <f t="shared" si="0"/>
        <v>6</v>
      </c>
      <c r="B9" s="62" t="s">
        <v>192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69"/>
  <sheetViews>
    <sheetView showGridLines="0" zoomScale="80" zoomScaleNormal="80" workbookViewId="0">
      <pane xSplit="6" ySplit="2" topLeftCell="H39" activePane="bottomRight" state="frozen"/>
      <selection pane="topRight" activeCell="C1" sqref="C1"/>
      <selection pane="bottomLeft" activeCell="A3" sqref="A3"/>
      <selection pane="bottomRight" activeCell="Q45" sqref="Q45"/>
    </sheetView>
  </sheetViews>
  <sheetFormatPr defaultColWidth="8.81640625" defaultRowHeight="14.5" x14ac:dyDescent="0.35"/>
  <cols>
    <col min="1" max="1" width="6.6328125" style="31" bestFit="1" customWidth="1"/>
    <col min="2" max="2" width="7.36328125" style="31" bestFit="1" customWidth="1"/>
    <col min="3" max="3" width="4.453125" style="31" bestFit="1" customWidth="1"/>
    <col min="4" max="4" width="4.54296875" style="31" bestFit="1" customWidth="1"/>
    <col min="5" max="5" width="16.81640625" style="31" bestFit="1" customWidth="1"/>
    <col min="6" max="6" width="24.08984375" style="31" bestFit="1" customWidth="1"/>
    <col min="7" max="7" width="29" style="31" bestFit="1" customWidth="1"/>
    <col min="8" max="8" width="29" style="31" customWidth="1"/>
    <col min="9" max="10" width="14" style="31" customWidth="1"/>
    <col min="11" max="11" width="20.90625" style="31" customWidth="1"/>
    <col min="12" max="12" width="12" style="31" customWidth="1"/>
    <col min="13" max="13" width="14.7265625" style="31" customWidth="1"/>
    <col min="14" max="14" width="11.08984375" style="31" customWidth="1"/>
    <col min="15" max="15" width="15.453125" style="31" customWidth="1"/>
    <col min="16" max="16" width="16" style="31" customWidth="1"/>
    <col min="17" max="17" width="16.90625" style="31" customWidth="1"/>
    <col min="18" max="18" width="13.1796875" style="31" customWidth="1"/>
    <col min="19" max="19" width="14.1796875" style="31" customWidth="1"/>
    <col min="20" max="20" width="12.7265625" style="31" customWidth="1"/>
    <col min="21" max="21" width="11.54296875" style="31" customWidth="1"/>
    <col min="22" max="22" width="12.1796875" style="31" customWidth="1"/>
    <col min="23" max="23" width="12" style="31" customWidth="1"/>
    <col min="24" max="26" width="12.26953125" style="31" customWidth="1"/>
    <col min="27" max="28" width="14.7265625" style="31" customWidth="1"/>
    <col min="29" max="29" width="15.81640625" style="31" customWidth="1"/>
    <col min="30" max="31" width="14.7265625" style="31" customWidth="1"/>
    <col min="32" max="32" width="12.26953125" style="31" customWidth="1"/>
    <col min="33" max="36" width="13.7265625" style="31" customWidth="1"/>
    <col min="37" max="37" width="13.36328125" style="31" customWidth="1"/>
    <col min="38" max="38" width="15" style="31" customWidth="1"/>
    <col min="39" max="40" width="12.54296875" style="31" bestFit="1" customWidth="1"/>
    <col min="41" max="281" width="9.1796875" style="31"/>
    <col min="282" max="282" width="34" style="31" customWidth="1"/>
    <col min="283" max="283" width="45.54296875" style="31" customWidth="1"/>
    <col min="284" max="284" width="34.54296875" style="31" bestFit="1" customWidth="1"/>
    <col min="285" max="290" width="16.54296875" style="31" customWidth="1"/>
    <col min="291" max="291" width="17.453125" style="31" bestFit="1" customWidth="1"/>
    <col min="292" max="292" width="16.54296875" style="31" customWidth="1"/>
    <col min="293" max="293" width="15.1796875" style="31" customWidth="1"/>
    <col min="294" max="294" width="11.453125" style="31" bestFit="1" customWidth="1"/>
    <col min="295" max="295" width="13.453125" style="31" customWidth="1"/>
    <col min="296" max="537" width="9.1796875" style="31"/>
    <col min="538" max="538" width="34" style="31" customWidth="1"/>
    <col min="539" max="539" width="45.54296875" style="31" customWidth="1"/>
    <col min="540" max="540" width="34.54296875" style="31" bestFit="1" customWidth="1"/>
    <col min="541" max="546" width="16.54296875" style="31" customWidth="1"/>
    <col min="547" max="547" width="17.453125" style="31" bestFit="1" customWidth="1"/>
    <col min="548" max="548" width="16.54296875" style="31" customWidth="1"/>
    <col min="549" max="549" width="15.1796875" style="31" customWidth="1"/>
    <col min="550" max="550" width="11.453125" style="31" bestFit="1" customWidth="1"/>
    <col min="551" max="551" width="13.453125" style="31" customWidth="1"/>
    <col min="552" max="793" width="9.1796875" style="31"/>
    <col min="794" max="794" width="34" style="31" customWidth="1"/>
    <col min="795" max="795" width="45.54296875" style="31" customWidth="1"/>
    <col min="796" max="796" width="34.54296875" style="31" bestFit="1" customWidth="1"/>
    <col min="797" max="802" width="16.54296875" style="31" customWidth="1"/>
    <col min="803" max="803" width="17.453125" style="31" bestFit="1" customWidth="1"/>
    <col min="804" max="804" width="16.54296875" style="31" customWidth="1"/>
    <col min="805" max="805" width="15.1796875" style="31" customWidth="1"/>
    <col min="806" max="806" width="11.453125" style="31" bestFit="1" customWidth="1"/>
    <col min="807" max="807" width="13.453125" style="31" customWidth="1"/>
    <col min="808" max="1049" width="9.1796875" style="31"/>
    <col min="1050" max="1050" width="34" style="31" customWidth="1"/>
    <col min="1051" max="1051" width="45.54296875" style="31" customWidth="1"/>
    <col min="1052" max="1052" width="34.54296875" style="31" bestFit="1" customWidth="1"/>
    <col min="1053" max="1058" width="16.54296875" style="31" customWidth="1"/>
    <col min="1059" max="1059" width="17.453125" style="31" bestFit="1" customWidth="1"/>
    <col min="1060" max="1060" width="16.54296875" style="31" customWidth="1"/>
    <col min="1061" max="1061" width="15.1796875" style="31" customWidth="1"/>
    <col min="1062" max="1062" width="11.453125" style="31" bestFit="1" customWidth="1"/>
    <col min="1063" max="1063" width="13.453125" style="31" customWidth="1"/>
    <col min="1064" max="1305" width="9.1796875" style="31"/>
    <col min="1306" max="1306" width="34" style="31" customWidth="1"/>
    <col min="1307" max="1307" width="45.54296875" style="31" customWidth="1"/>
    <col min="1308" max="1308" width="34.54296875" style="31" bestFit="1" customWidth="1"/>
    <col min="1309" max="1314" width="16.54296875" style="31" customWidth="1"/>
    <col min="1315" max="1315" width="17.453125" style="31" bestFit="1" customWidth="1"/>
    <col min="1316" max="1316" width="16.54296875" style="31" customWidth="1"/>
    <col min="1317" max="1317" width="15.1796875" style="31" customWidth="1"/>
    <col min="1318" max="1318" width="11.453125" style="31" bestFit="1" customWidth="1"/>
    <col min="1319" max="1319" width="13.453125" style="31" customWidth="1"/>
    <col min="1320" max="1561" width="9.1796875" style="31"/>
    <col min="1562" max="1562" width="34" style="31" customWidth="1"/>
    <col min="1563" max="1563" width="45.54296875" style="31" customWidth="1"/>
    <col min="1564" max="1564" width="34.54296875" style="31" bestFit="1" customWidth="1"/>
    <col min="1565" max="1570" width="16.54296875" style="31" customWidth="1"/>
    <col min="1571" max="1571" width="17.453125" style="31" bestFit="1" customWidth="1"/>
    <col min="1572" max="1572" width="16.54296875" style="31" customWidth="1"/>
    <col min="1573" max="1573" width="15.1796875" style="31" customWidth="1"/>
    <col min="1574" max="1574" width="11.453125" style="31" bestFit="1" customWidth="1"/>
    <col min="1575" max="1575" width="13.453125" style="31" customWidth="1"/>
    <col min="1576" max="1817" width="9.1796875" style="31"/>
    <col min="1818" max="1818" width="34" style="31" customWidth="1"/>
    <col min="1819" max="1819" width="45.54296875" style="31" customWidth="1"/>
    <col min="1820" max="1820" width="34.54296875" style="31" bestFit="1" customWidth="1"/>
    <col min="1821" max="1826" width="16.54296875" style="31" customWidth="1"/>
    <col min="1827" max="1827" width="17.453125" style="31" bestFit="1" customWidth="1"/>
    <col min="1828" max="1828" width="16.54296875" style="31" customWidth="1"/>
    <col min="1829" max="1829" width="15.1796875" style="31" customWidth="1"/>
    <col min="1830" max="1830" width="11.453125" style="31" bestFit="1" customWidth="1"/>
    <col min="1831" max="1831" width="13.453125" style="31" customWidth="1"/>
    <col min="1832" max="2073" width="9.1796875" style="31"/>
    <col min="2074" max="2074" width="34" style="31" customWidth="1"/>
    <col min="2075" max="2075" width="45.54296875" style="31" customWidth="1"/>
    <col min="2076" max="2076" width="34.54296875" style="31" bestFit="1" customWidth="1"/>
    <col min="2077" max="2082" width="16.54296875" style="31" customWidth="1"/>
    <col min="2083" max="2083" width="17.453125" style="31" bestFit="1" customWidth="1"/>
    <col min="2084" max="2084" width="16.54296875" style="31" customWidth="1"/>
    <col min="2085" max="2085" width="15.1796875" style="31" customWidth="1"/>
    <col min="2086" max="2086" width="11.453125" style="31" bestFit="1" customWidth="1"/>
    <col min="2087" max="2087" width="13.453125" style="31" customWidth="1"/>
    <col min="2088" max="2329" width="9.1796875" style="31"/>
    <col min="2330" max="2330" width="34" style="31" customWidth="1"/>
    <col min="2331" max="2331" width="45.54296875" style="31" customWidth="1"/>
    <col min="2332" max="2332" width="34.54296875" style="31" bestFit="1" customWidth="1"/>
    <col min="2333" max="2338" width="16.54296875" style="31" customWidth="1"/>
    <col min="2339" max="2339" width="17.453125" style="31" bestFit="1" customWidth="1"/>
    <col min="2340" max="2340" width="16.54296875" style="31" customWidth="1"/>
    <col min="2341" max="2341" width="15.1796875" style="31" customWidth="1"/>
    <col min="2342" max="2342" width="11.453125" style="31" bestFit="1" customWidth="1"/>
    <col min="2343" max="2343" width="13.453125" style="31" customWidth="1"/>
    <col min="2344" max="2585" width="9.1796875" style="31"/>
    <col min="2586" max="2586" width="34" style="31" customWidth="1"/>
    <col min="2587" max="2587" width="45.54296875" style="31" customWidth="1"/>
    <col min="2588" max="2588" width="34.54296875" style="31" bestFit="1" customWidth="1"/>
    <col min="2589" max="2594" width="16.54296875" style="31" customWidth="1"/>
    <col min="2595" max="2595" width="17.453125" style="31" bestFit="1" customWidth="1"/>
    <col min="2596" max="2596" width="16.54296875" style="31" customWidth="1"/>
    <col min="2597" max="2597" width="15.1796875" style="31" customWidth="1"/>
    <col min="2598" max="2598" width="11.453125" style="31" bestFit="1" customWidth="1"/>
    <col min="2599" max="2599" width="13.453125" style="31" customWidth="1"/>
    <col min="2600" max="2841" width="9.1796875" style="31"/>
    <col min="2842" max="2842" width="34" style="31" customWidth="1"/>
    <col min="2843" max="2843" width="45.54296875" style="31" customWidth="1"/>
    <col min="2844" max="2844" width="34.54296875" style="31" bestFit="1" customWidth="1"/>
    <col min="2845" max="2850" width="16.54296875" style="31" customWidth="1"/>
    <col min="2851" max="2851" width="17.453125" style="31" bestFit="1" customWidth="1"/>
    <col min="2852" max="2852" width="16.54296875" style="31" customWidth="1"/>
    <col min="2853" max="2853" width="15.1796875" style="31" customWidth="1"/>
    <col min="2854" max="2854" width="11.453125" style="31" bestFit="1" customWidth="1"/>
    <col min="2855" max="2855" width="13.453125" style="31" customWidth="1"/>
    <col min="2856" max="3097" width="9.1796875" style="31"/>
    <col min="3098" max="3098" width="34" style="31" customWidth="1"/>
    <col min="3099" max="3099" width="45.54296875" style="31" customWidth="1"/>
    <col min="3100" max="3100" width="34.54296875" style="31" bestFit="1" customWidth="1"/>
    <col min="3101" max="3106" width="16.54296875" style="31" customWidth="1"/>
    <col min="3107" max="3107" width="17.453125" style="31" bestFit="1" customWidth="1"/>
    <col min="3108" max="3108" width="16.54296875" style="31" customWidth="1"/>
    <col min="3109" max="3109" width="15.1796875" style="31" customWidth="1"/>
    <col min="3110" max="3110" width="11.453125" style="31" bestFit="1" customWidth="1"/>
    <col min="3111" max="3111" width="13.453125" style="31" customWidth="1"/>
    <col min="3112" max="3353" width="9.1796875" style="31"/>
    <col min="3354" max="3354" width="34" style="31" customWidth="1"/>
    <col min="3355" max="3355" width="45.54296875" style="31" customWidth="1"/>
    <col min="3356" max="3356" width="34.54296875" style="31" bestFit="1" customWidth="1"/>
    <col min="3357" max="3362" width="16.54296875" style="31" customWidth="1"/>
    <col min="3363" max="3363" width="17.453125" style="31" bestFit="1" customWidth="1"/>
    <col min="3364" max="3364" width="16.54296875" style="31" customWidth="1"/>
    <col min="3365" max="3365" width="15.1796875" style="31" customWidth="1"/>
    <col min="3366" max="3366" width="11.453125" style="31" bestFit="1" customWidth="1"/>
    <col min="3367" max="3367" width="13.453125" style="31" customWidth="1"/>
    <col min="3368" max="3609" width="9.1796875" style="31"/>
    <col min="3610" max="3610" width="34" style="31" customWidth="1"/>
    <col min="3611" max="3611" width="45.54296875" style="31" customWidth="1"/>
    <col min="3612" max="3612" width="34.54296875" style="31" bestFit="1" customWidth="1"/>
    <col min="3613" max="3618" width="16.54296875" style="31" customWidth="1"/>
    <col min="3619" max="3619" width="17.453125" style="31" bestFit="1" customWidth="1"/>
    <col min="3620" max="3620" width="16.54296875" style="31" customWidth="1"/>
    <col min="3621" max="3621" width="15.1796875" style="31" customWidth="1"/>
    <col min="3622" max="3622" width="11.453125" style="31" bestFit="1" customWidth="1"/>
    <col min="3623" max="3623" width="13.453125" style="31" customWidth="1"/>
    <col min="3624" max="3865" width="9.1796875" style="31"/>
    <col min="3866" max="3866" width="34" style="31" customWidth="1"/>
    <col min="3867" max="3867" width="45.54296875" style="31" customWidth="1"/>
    <col min="3868" max="3868" width="34.54296875" style="31" bestFit="1" customWidth="1"/>
    <col min="3869" max="3874" width="16.54296875" style="31" customWidth="1"/>
    <col min="3875" max="3875" width="17.453125" style="31" bestFit="1" customWidth="1"/>
    <col min="3876" max="3876" width="16.54296875" style="31" customWidth="1"/>
    <col min="3877" max="3877" width="15.1796875" style="31" customWidth="1"/>
    <col min="3878" max="3878" width="11.453125" style="31" bestFit="1" customWidth="1"/>
    <col min="3879" max="3879" width="13.453125" style="31" customWidth="1"/>
    <col min="3880" max="4121" width="9.1796875" style="31"/>
    <col min="4122" max="4122" width="34" style="31" customWidth="1"/>
    <col min="4123" max="4123" width="45.54296875" style="31" customWidth="1"/>
    <col min="4124" max="4124" width="34.54296875" style="31" bestFit="1" customWidth="1"/>
    <col min="4125" max="4130" width="16.54296875" style="31" customWidth="1"/>
    <col min="4131" max="4131" width="17.453125" style="31" bestFit="1" customWidth="1"/>
    <col min="4132" max="4132" width="16.54296875" style="31" customWidth="1"/>
    <col min="4133" max="4133" width="15.1796875" style="31" customWidth="1"/>
    <col min="4134" max="4134" width="11.453125" style="31" bestFit="1" customWidth="1"/>
    <col min="4135" max="4135" width="13.453125" style="31" customWidth="1"/>
    <col min="4136" max="4377" width="9.1796875" style="31"/>
    <col min="4378" max="4378" width="34" style="31" customWidth="1"/>
    <col min="4379" max="4379" width="45.54296875" style="31" customWidth="1"/>
    <col min="4380" max="4380" width="34.54296875" style="31" bestFit="1" customWidth="1"/>
    <col min="4381" max="4386" width="16.54296875" style="31" customWidth="1"/>
    <col min="4387" max="4387" width="17.453125" style="31" bestFit="1" customWidth="1"/>
    <col min="4388" max="4388" width="16.54296875" style="31" customWidth="1"/>
    <col min="4389" max="4389" width="15.1796875" style="31" customWidth="1"/>
    <col min="4390" max="4390" width="11.453125" style="31" bestFit="1" customWidth="1"/>
    <col min="4391" max="4391" width="13.453125" style="31" customWidth="1"/>
    <col min="4392" max="4633" width="9.1796875" style="31"/>
    <col min="4634" max="4634" width="34" style="31" customWidth="1"/>
    <col min="4635" max="4635" width="45.54296875" style="31" customWidth="1"/>
    <col min="4636" max="4636" width="34.54296875" style="31" bestFit="1" customWidth="1"/>
    <col min="4637" max="4642" width="16.54296875" style="31" customWidth="1"/>
    <col min="4643" max="4643" width="17.453125" style="31" bestFit="1" customWidth="1"/>
    <col min="4644" max="4644" width="16.54296875" style="31" customWidth="1"/>
    <col min="4645" max="4645" width="15.1796875" style="31" customWidth="1"/>
    <col min="4646" max="4646" width="11.453125" style="31" bestFit="1" customWidth="1"/>
    <col min="4647" max="4647" width="13.453125" style="31" customWidth="1"/>
    <col min="4648" max="4889" width="9.1796875" style="31"/>
    <col min="4890" max="4890" width="34" style="31" customWidth="1"/>
    <col min="4891" max="4891" width="45.54296875" style="31" customWidth="1"/>
    <col min="4892" max="4892" width="34.54296875" style="31" bestFit="1" customWidth="1"/>
    <col min="4893" max="4898" width="16.54296875" style="31" customWidth="1"/>
    <col min="4899" max="4899" width="17.453125" style="31" bestFit="1" customWidth="1"/>
    <col min="4900" max="4900" width="16.54296875" style="31" customWidth="1"/>
    <col min="4901" max="4901" width="15.1796875" style="31" customWidth="1"/>
    <col min="4902" max="4902" width="11.453125" style="31" bestFit="1" customWidth="1"/>
    <col min="4903" max="4903" width="13.453125" style="31" customWidth="1"/>
    <col min="4904" max="5145" width="9.1796875" style="31"/>
    <col min="5146" max="5146" width="34" style="31" customWidth="1"/>
    <col min="5147" max="5147" width="45.54296875" style="31" customWidth="1"/>
    <col min="5148" max="5148" width="34.54296875" style="31" bestFit="1" customWidth="1"/>
    <col min="5149" max="5154" width="16.54296875" style="31" customWidth="1"/>
    <col min="5155" max="5155" width="17.453125" style="31" bestFit="1" customWidth="1"/>
    <col min="5156" max="5156" width="16.54296875" style="31" customWidth="1"/>
    <col min="5157" max="5157" width="15.1796875" style="31" customWidth="1"/>
    <col min="5158" max="5158" width="11.453125" style="31" bestFit="1" customWidth="1"/>
    <col min="5159" max="5159" width="13.453125" style="31" customWidth="1"/>
    <col min="5160" max="5401" width="9.1796875" style="31"/>
    <col min="5402" max="5402" width="34" style="31" customWidth="1"/>
    <col min="5403" max="5403" width="45.54296875" style="31" customWidth="1"/>
    <col min="5404" max="5404" width="34.54296875" style="31" bestFit="1" customWidth="1"/>
    <col min="5405" max="5410" width="16.54296875" style="31" customWidth="1"/>
    <col min="5411" max="5411" width="17.453125" style="31" bestFit="1" customWidth="1"/>
    <col min="5412" max="5412" width="16.54296875" style="31" customWidth="1"/>
    <col min="5413" max="5413" width="15.1796875" style="31" customWidth="1"/>
    <col min="5414" max="5414" width="11.453125" style="31" bestFit="1" customWidth="1"/>
    <col min="5415" max="5415" width="13.453125" style="31" customWidth="1"/>
    <col min="5416" max="5657" width="9.1796875" style="31"/>
    <col min="5658" max="5658" width="34" style="31" customWidth="1"/>
    <col min="5659" max="5659" width="45.54296875" style="31" customWidth="1"/>
    <col min="5660" max="5660" width="34.54296875" style="31" bestFit="1" customWidth="1"/>
    <col min="5661" max="5666" width="16.54296875" style="31" customWidth="1"/>
    <col min="5667" max="5667" width="17.453125" style="31" bestFit="1" customWidth="1"/>
    <col min="5668" max="5668" width="16.54296875" style="31" customWidth="1"/>
    <col min="5669" max="5669" width="15.1796875" style="31" customWidth="1"/>
    <col min="5670" max="5670" width="11.453125" style="31" bestFit="1" customWidth="1"/>
    <col min="5671" max="5671" width="13.453125" style="31" customWidth="1"/>
    <col min="5672" max="5913" width="9.1796875" style="31"/>
    <col min="5914" max="5914" width="34" style="31" customWidth="1"/>
    <col min="5915" max="5915" width="45.54296875" style="31" customWidth="1"/>
    <col min="5916" max="5916" width="34.54296875" style="31" bestFit="1" customWidth="1"/>
    <col min="5917" max="5922" width="16.54296875" style="31" customWidth="1"/>
    <col min="5923" max="5923" width="17.453125" style="31" bestFit="1" customWidth="1"/>
    <col min="5924" max="5924" width="16.54296875" style="31" customWidth="1"/>
    <col min="5925" max="5925" width="15.1796875" style="31" customWidth="1"/>
    <col min="5926" max="5926" width="11.453125" style="31" bestFit="1" customWidth="1"/>
    <col min="5927" max="5927" width="13.453125" style="31" customWidth="1"/>
    <col min="5928" max="6169" width="9.1796875" style="31"/>
    <col min="6170" max="6170" width="34" style="31" customWidth="1"/>
    <col min="6171" max="6171" width="45.54296875" style="31" customWidth="1"/>
    <col min="6172" max="6172" width="34.54296875" style="31" bestFit="1" customWidth="1"/>
    <col min="6173" max="6178" width="16.54296875" style="31" customWidth="1"/>
    <col min="6179" max="6179" width="17.453125" style="31" bestFit="1" customWidth="1"/>
    <col min="6180" max="6180" width="16.54296875" style="31" customWidth="1"/>
    <col min="6181" max="6181" width="15.1796875" style="31" customWidth="1"/>
    <col min="6182" max="6182" width="11.453125" style="31" bestFit="1" customWidth="1"/>
    <col min="6183" max="6183" width="13.453125" style="31" customWidth="1"/>
    <col min="6184" max="6425" width="9.1796875" style="31"/>
    <col min="6426" max="6426" width="34" style="31" customWidth="1"/>
    <col min="6427" max="6427" width="45.54296875" style="31" customWidth="1"/>
    <col min="6428" max="6428" width="34.54296875" style="31" bestFit="1" customWidth="1"/>
    <col min="6429" max="6434" width="16.54296875" style="31" customWidth="1"/>
    <col min="6435" max="6435" width="17.453125" style="31" bestFit="1" customWidth="1"/>
    <col min="6436" max="6436" width="16.54296875" style="31" customWidth="1"/>
    <col min="6437" max="6437" width="15.1796875" style="31" customWidth="1"/>
    <col min="6438" max="6438" width="11.453125" style="31" bestFit="1" customWidth="1"/>
    <col min="6439" max="6439" width="13.453125" style="31" customWidth="1"/>
    <col min="6440" max="6681" width="9.1796875" style="31"/>
    <col min="6682" max="6682" width="34" style="31" customWidth="1"/>
    <col min="6683" max="6683" width="45.54296875" style="31" customWidth="1"/>
    <col min="6684" max="6684" width="34.54296875" style="31" bestFit="1" customWidth="1"/>
    <col min="6685" max="6690" width="16.54296875" style="31" customWidth="1"/>
    <col min="6691" max="6691" width="17.453125" style="31" bestFit="1" customWidth="1"/>
    <col min="6692" max="6692" width="16.54296875" style="31" customWidth="1"/>
    <col min="6693" max="6693" width="15.1796875" style="31" customWidth="1"/>
    <col min="6694" max="6694" width="11.453125" style="31" bestFit="1" customWidth="1"/>
    <col min="6695" max="6695" width="13.453125" style="31" customWidth="1"/>
    <col min="6696" max="6937" width="9.1796875" style="31"/>
    <col min="6938" max="6938" width="34" style="31" customWidth="1"/>
    <col min="6939" max="6939" width="45.54296875" style="31" customWidth="1"/>
    <col min="6940" max="6940" width="34.54296875" style="31" bestFit="1" customWidth="1"/>
    <col min="6941" max="6946" width="16.54296875" style="31" customWidth="1"/>
    <col min="6947" max="6947" width="17.453125" style="31" bestFit="1" customWidth="1"/>
    <col min="6948" max="6948" width="16.54296875" style="31" customWidth="1"/>
    <col min="6949" max="6949" width="15.1796875" style="31" customWidth="1"/>
    <col min="6950" max="6950" width="11.453125" style="31" bestFit="1" customWidth="1"/>
    <col min="6951" max="6951" width="13.453125" style="31" customWidth="1"/>
    <col min="6952" max="7193" width="9.1796875" style="31"/>
    <col min="7194" max="7194" width="34" style="31" customWidth="1"/>
    <col min="7195" max="7195" width="45.54296875" style="31" customWidth="1"/>
    <col min="7196" max="7196" width="34.54296875" style="31" bestFit="1" customWidth="1"/>
    <col min="7197" max="7202" width="16.54296875" style="31" customWidth="1"/>
    <col min="7203" max="7203" width="17.453125" style="31" bestFit="1" customWidth="1"/>
    <col min="7204" max="7204" width="16.54296875" style="31" customWidth="1"/>
    <col min="7205" max="7205" width="15.1796875" style="31" customWidth="1"/>
    <col min="7206" max="7206" width="11.453125" style="31" bestFit="1" customWidth="1"/>
    <col min="7207" max="7207" width="13.453125" style="31" customWidth="1"/>
    <col min="7208" max="7449" width="9.1796875" style="31"/>
    <col min="7450" max="7450" width="34" style="31" customWidth="1"/>
    <col min="7451" max="7451" width="45.54296875" style="31" customWidth="1"/>
    <col min="7452" max="7452" width="34.54296875" style="31" bestFit="1" customWidth="1"/>
    <col min="7453" max="7458" width="16.54296875" style="31" customWidth="1"/>
    <col min="7459" max="7459" width="17.453125" style="31" bestFit="1" customWidth="1"/>
    <col min="7460" max="7460" width="16.54296875" style="31" customWidth="1"/>
    <col min="7461" max="7461" width="15.1796875" style="31" customWidth="1"/>
    <col min="7462" max="7462" width="11.453125" style="31" bestFit="1" customWidth="1"/>
    <col min="7463" max="7463" width="13.453125" style="31" customWidth="1"/>
    <col min="7464" max="7705" width="9.1796875" style="31"/>
    <col min="7706" max="7706" width="34" style="31" customWidth="1"/>
    <col min="7707" max="7707" width="45.54296875" style="31" customWidth="1"/>
    <col min="7708" max="7708" width="34.54296875" style="31" bestFit="1" customWidth="1"/>
    <col min="7709" max="7714" width="16.54296875" style="31" customWidth="1"/>
    <col min="7715" max="7715" width="17.453125" style="31" bestFit="1" customWidth="1"/>
    <col min="7716" max="7716" width="16.54296875" style="31" customWidth="1"/>
    <col min="7717" max="7717" width="15.1796875" style="31" customWidth="1"/>
    <col min="7718" max="7718" width="11.453125" style="31" bestFit="1" customWidth="1"/>
    <col min="7719" max="7719" width="13.453125" style="31" customWidth="1"/>
    <col min="7720" max="7961" width="9.1796875" style="31"/>
    <col min="7962" max="7962" width="34" style="31" customWidth="1"/>
    <col min="7963" max="7963" width="45.54296875" style="31" customWidth="1"/>
    <col min="7964" max="7964" width="34.54296875" style="31" bestFit="1" customWidth="1"/>
    <col min="7965" max="7970" width="16.54296875" style="31" customWidth="1"/>
    <col min="7971" max="7971" width="17.453125" style="31" bestFit="1" customWidth="1"/>
    <col min="7972" max="7972" width="16.54296875" style="31" customWidth="1"/>
    <col min="7973" max="7973" width="15.1796875" style="31" customWidth="1"/>
    <col min="7974" max="7974" width="11.453125" style="31" bestFit="1" customWidth="1"/>
    <col min="7975" max="7975" width="13.453125" style="31" customWidth="1"/>
    <col min="7976" max="8217" width="9.1796875" style="31"/>
    <col min="8218" max="8218" width="34" style="31" customWidth="1"/>
    <col min="8219" max="8219" width="45.54296875" style="31" customWidth="1"/>
    <col min="8220" max="8220" width="34.54296875" style="31" bestFit="1" customWidth="1"/>
    <col min="8221" max="8226" width="16.54296875" style="31" customWidth="1"/>
    <col min="8227" max="8227" width="17.453125" style="31" bestFit="1" customWidth="1"/>
    <col min="8228" max="8228" width="16.54296875" style="31" customWidth="1"/>
    <col min="8229" max="8229" width="15.1796875" style="31" customWidth="1"/>
    <col min="8230" max="8230" width="11.453125" style="31" bestFit="1" customWidth="1"/>
    <col min="8231" max="8231" width="13.453125" style="31" customWidth="1"/>
    <col min="8232" max="8473" width="9.1796875" style="31"/>
    <col min="8474" max="8474" width="34" style="31" customWidth="1"/>
    <col min="8475" max="8475" width="45.54296875" style="31" customWidth="1"/>
    <col min="8476" max="8476" width="34.54296875" style="31" bestFit="1" customWidth="1"/>
    <col min="8477" max="8482" width="16.54296875" style="31" customWidth="1"/>
    <col min="8483" max="8483" width="17.453125" style="31" bestFit="1" customWidth="1"/>
    <col min="8484" max="8484" width="16.54296875" style="31" customWidth="1"/>
    <col min="8485" max="8485" width="15.1796875" style="31" customWidth="1"/>
    <col min="8486" max="8486" width="11.453125" style="31" bestFit="1" customWidth="1"/>
    <col min="8487" max="8487" width="13.453125" style="31" customWidth="1"/>
    <col min="8488" max="8729" width="9.1796875" style="31"/>
    <col min="8730" max="8730" width="34" style="31" customWidth="1"/>
    <col min="8731" max="8731" width="45.54296875" style="31" customWidth="1"/>
    <col min="8732" max="8732" width="34.54296875" style="31" bestFit="1" customWidth="1"/>
    <col min="8733" max="8738" width="16.54296875" style="31" customWidth="1"/>
    <col min="8739" max="8739" width="17.453125" style="31" bestFit="1" customWidth="1"/>
    <col min="8740" max="8740" width="16.54296875" style="31" customWidth="1"/>
    <col min="8741" max="8741" width="15.1796875" style="31" customWidth="1"/>
    <col min="8742" max="8742" width="11.453125" style="31" bestFit="1" customWidth="1"/>
    <col min="8743" max="8743" width="13.453125" style="31" customWidth="1"/>
    <col min="8744" max="8985" width="9.1796875" style="31"/>
    <col min="8986" max="8986" width="34" style="31" customWidth="1"/>
    <col min="8987" max="8987" width="45.54296875" style="31" customWidth="1"/>
    <col min="8988" max="8988" width="34.54296875" style="31" bestFit="1" customWidth="1"/>
    <col min="8989" max="8994" width="16.54296875" style="31" customWidth="1"/>
    <col min="8995" max="8995" width="17.453125" style="31" bestFit="1" customWidth="1"/>
    <col min="8996" max="8996" width="16.54296875" style="31" customWidth="1"/>
    <col min="8997" max="8997" width="15.1796875" style="31" customWidth="1"/>
    <col min="8998" max="8998" width="11.453125" style="31" bestFit="1" customWidth="1"/>
    <col min="8999" max="8999" width="13.453125" style="31" customWidth="1"/>
    <col min="9000" max="9241" width="9.1796875" style="31"/>
    <col min="9242" max="9242" width="34" style="31" customWidth="1"/>
    <col min="9243" max="9243" width="45.54296875" style="31" customWidth="1"/>
    <col min="9244" max="9244" width="34.54296875" style="31" bestFit="1" customWidth="1"/>
    <col min="9245" max="9250" width="16.54296875" style="31" customWidth="1"/>
    <col min="9251" max="9251" width="17.453125" style="31" bestFit="1" customWidth="1"/>
    <col min="9252" max="9252" width="16.54296875" style="31" customWidth="1"/>
    <col min="9253" max="9253" width="15.1796875" style="31" customWidth="1"/>
    <col min="9254" max="9254" width="11.453125" style="31" bestFit="1" customWidth="1"/>
    <col min="9255" max="9255" width="13.453125" style="31" customWidth="1"/>
    <col min="9256" max="9497" width="9.1796875" style="31"/>
    <col min="9498" max="9498" width="34" style="31" customWidth="1"/>
    <col min="9499" max="9499" width="45.54296875" style="31" customWidth="1"/>
    <col min="9500" max="9500" width="34.54296875" style="31" bestFit="1" customWidth="1"/>
    <col min="9501" max="9506" width="16.54296875" style="31" customWidth="1"/>
    <col min="9507" max="9507" width="17.453125" style="31" bestFit="1" customWidth="1"/>
    <col min="9508" max="9508" width="16.54296875" style="31" customWidth="1"/>
    <col min="9509" max="9509" width="15.1796875" style="31" customWidth="1"/>
    <col min="9510" max="9510" width="11.453125" style="31" bestFit="1" customWidth="1"/>
    <col min="9511" max="9511" width="13.453125" style="31" customWidth="1"/>
    <col min="9512" max="9753" width="9.1796875" style="31"/>
    <col min="9754" max="9754" width="34" style="31" customWidth="1"/>
    <col min="9755" max="9755" width="45.54296875" style="31" customWidth="1"/>
    <col min="9756" max="9756" width="34.54296875" style="31" bestFit="1" customWidth="1"/>
    <col min="9757" max="9762" width="16.54296875" style="31" customWidth="1"/>
    <col min="9763" max="9763" width="17.453125" style="31" bestFit="1" customWidth="1"/>
    <col min="9764" max="9764" width="16.54296875" style="31" customWidth="1"/>
    <col min="9765" max="9765" width="15.1796875" style="31" customWidth="1"/>
    <col min="9766" max="9766" width="11.453125" style="31" bestFit="1" customWidth="1"/>
    <col min="9767" max="9767" width="13.453125" style="31" customWidth="1"/>
    <col min="9768" max="10009" width="9.1796875" style="31"/>
    <col min="10010" max="10010" width="34" style="31" customWidth="1"/>
    <col min="10011" max="10011" width="45.54296875" style="31" customWidth="1"/>
    <col min="10012" max="10012" width="34.54296875" style="31" bestFit="1" customWidth="1"/>
    <col min="10013" max="10018" width="16.54296875" style="31" customWidth="1"/>
    <col min="10019" max="10019" width="17.453125" style="31" bestFit="1" customWidth="1"/>
    <col min="10020" max="10020" width="16.54296875" style="31" customWidth="1"/>
    <col min="10021" max="10021" width="15.1796875" style="31" customWidth="1"/>
    <col min="10022" max="10022" width="11.453125" style="31" bestFit="1" customWidth="1"/>
    <col min="10023" max="10023" width="13.453125" style="31" customWidth="1"/>
    <col min="10024" max="10265" width="9.1796875" style="31"/>
    <col min="10266" max="10266" width="34" style="31" customWidth="1"/>
    <col min="10267" max="10267" width="45.54296875" style="31" customWidth="1"/>
    <col min="10268" max="10268" width="34.54296875" style="31" bestFit="1" customWidth="1"/>
    <col min="10269" max="10274" width="16.54296875" style="31" customWidth="1"/>
    <col min="10275" max="10275" width="17.453125" style="31" bestFit="1" customWidth="1"/>
    <col min="10276" max="10276" width="16.54296875" style="31" customWidth="1"/>
    <col min="10277" max="10277" width="15.1796875" style="31" customWidth="1"/>
    <col min="10278" max="10278" width="11.453125" style="31" bestFit="1" customWidth="1"/>
    <col min="10279" max="10279" width="13.453125" style="31" customWidth="1"/>
    <col min="10280" max="10521" width="9.1796875" style="31"/>
    <col min="10522" max="10522" width="34" style="31" customWidth="1"/>
    <col min="10523" max="10523" width="45.54296875" style="31" customWidth="1"/>
    <col min="10524" max="10524" width="34.54296875" style="31" bestFit="1" customWidth="1"/>
    <col min="10525" max="10530" width="16.54296875" style="31" customWidth="1"/>
    <col min="10531" max="10531" width="17.453125" style="31" bestFit="1" customWidth="1"/>
    <col min="10532" max="10532" width="16.54296875" style="31" customWidth="1"/>
    <col min="10533" max="10533" width="15.1796875" style="31" customWidth="1"/>
    <col min="10534" max="10534" width="11.453125" style="31" bestFit="1" customWidth="1"/>
    <col min="10535" max="10535" width="13.453125" style="31" customWidth="1"/>
    <col min="10536" max="10777" width="9.1796875" style="31"/>
    <col min="10778" max="10778" width="34" style="31" customWidth="1"/>
    <col min="10779" max="10779" width="45.54296875" style="31" customWidth="1"/>
    <col min="10780" max="10780" width="34.54296875" style="31" bestFit="1" customWidth="1"/>
    <col min="10781" max="10786" width="16.54296875" style="31" customWidth="1"/>
    <col min="10787" max="10787" width="17.453125" style="31" bestFit="1" customWidth="1"/>
    <col min="10788" max="10788" width="16.54296875" style="31" customWidth="1"/>
    <col min="10789" max="10789" width="15.1796875" style="31" customWidth="1"/>
    <col min="10790" max="10790" width="11.453125" style="31" bestFit="1" customWidth="1"/>
    <col min="10791" max="10791" width="13.453125" style="31" customWidth="1"/>
    <col min="10792" max="11033" width="9.1796875" style="31"/>
    <col min="11034" max="11034" width="34" style="31" customWidth="1"/>
    <col min="11035" max="11035" width="45.54296875" style="31" customWidth="1"/>
    <col min="11036" max="11036" width="34.54296875" style="31" bestFit="1" customWidth="1"/>
    <col min="11037" max="11042" width="16.54296875" style="31" customWidth="1"/>
    <col min="11043" max="11043" width="17.453125" style="31" bestFit="1" customWidth="1"/>
    <col min="11044" max="11044" width="16.54296875" style="31" customWidth="1"/>
    <col min="11045" max="11045" width="15.1796875" style="31" customWidth="1"/>
    <col min="11046" max="11046" width="11.453125" style="31" bestFit="1" customWidth="1"/>
    <col min="11047" max="11047" width="13.453125" style="31" customWidth="1"/>
    <col min="11048" max="11289" width="9.1796875" style="31"/>
    <col min="11290" max="11290" width="34" style="31" customWidth="1"/>
    <col min="11291" max="11291" width="45.54296875" style="31" customWidth="1"/>
    <col min="11292" max="11292" width="34.54296875" style="31" bestFit="1" customWidth="1"/>
    <col min="11293" max="11298" width="16.54296875" style="31" customWidth="1"/>
    <col min="11299" max="11299" width="17.453125" style="31" bestFit="1" customWidth="1"/>
    <col min="11300" max="11300" width="16.54296875" style="31" customWidth="1"/>
    <col min="11301" max="11301" width="15.1796875" style="31" customWidth="1"/>
    <col min="11302" max="11302" width="11.453125" style="31" bestFit="1" customWidth="1"/>
    <col min="11303" max="11303" width="13.453125" style="31" customWidth="1"/>
    <col min="11304" max="11545" width="9.1796875" style="31"/>
    <col min="11546" max="11546" width="34" style="31" customWidth="1"/>
    <col min="11547" max="11547" width="45.54296875" style="31" customWidth="1"/>
    <col min="11548" max="11548" width="34.54296875" style="31" bestFit="1" customWidth="1"/>
    <col min="11549" max="11554" width="16.54296875" style="31" customWidth="1"/>
    <col min="11555" max="11555" width="17.453125" style="31" bestFit="1" customWidth="1"/>
    <col min="11556" max="11556" width="16.54296875" style="31" customWidth="1"/>
    <col min="11557" max="11557" width="15.1796875" style="31" customWidth="1"/>
    <col min="11558" max="11558" width="11.453125" style="31" bestFit="1" customWidth="1"/>
    <col min="11559" max="11559" width="13.453125" style="31" customWidth="1"/>
    <col min="11560" max="11801" width="9.1796875" style="31"/>
    <col min="11802" max="11802" width="34" style="31" customWidth="1"/>
    <col min="11803" max="11803" width="45.54296875" style="31" customWidth="1"/>
    <col min="11804" max="11804" width="34.54296875" style="31" bestFit="1" customWidth="1"/>
    <col min="11805" max="11810" width="16.54296875" style="31" customWidth="1"/>
    <col min="11811" max="11811" width="17.453125" style="31" bestFit="1" customWidth="1"/>
    <col min="11812" max="11812" width="16.54296875" style="31" customWidth="1"/>
    <col min="11813" max="11813" width="15.1796875" style="31" customWidth="1"/>
    <col min="11814" max="11814" width="11.453125" style="31" bestFit="1" customWidth="1"/>
    <col min="11815" max="11815" width="13.453125" style="31" customWidth="1"/>
    <col min="11816" max="12057" width="9.1796875" style="31"/>
    <col min="12058" max="12058" width="34" style="31" customWidth="1"/>
    <col min="12059" max="12059" width="45.54296875" style="31" customWidth="1"/>
    <col min="12060" max="12060" width="34.54296875" style="31" bestFit="1" customWidth="1"/>
    <col min="12061" max="12066" width="16.54296875" style="31" customWidth="1"/>
    <col min="12067" max="12067" width="17.453125" style="31" bestFit="1" customWidth="1"/>
    <col min="12068" max="12068" width="16.54296875" style="31" customWidth="1"/>
    <col min="12069" max="12069" width="15.1796875" style="31" customWidth="1"/>
    <col min="12070" max="12070" width="11.453125" style="31" bestFit="1" customWidth="1"/>
    <col min="12071" max="12071" width="13.453125" style="31" customWidth="1"/>
    <col min="12072" max="12313" width="9.1796875" style="31"/>
    <col min="12314" max="12314" width="34" style="31" customWidth="1"/>
    <col min="12315" max="12315" width="45.54296875" style="31" customWidth="1"/>
    <col min="12316" max="12316" width="34.54296875" style="31" bestFit="1" customWidth="1"/>
    <col min="12317" max="12322" width="16.54296875" style="31" customWidth="1"/>
    <col min="12323" max="12323" width="17.453125" style="31" bestFit="1" customWidth="1"/>
    <col min="12324" max="12324" width="16.54296875" style="31" customWidth="1"/>
    <col min="12325" max="12325" width="15.1796875" style="31" customWidth="1"/>
    <col min="12326" max="12326" width="11.453125" style="31" bestFit="1" customWidth="1"/>
    <col min="12327" max="12327" width="13.453125" style="31" customWidth="1"/>
    <col min="12328" max="12569" width="9.1796875" style="31"/>
    <col min="12570" max="12570" width="34" style="31" customWidth="1"/>
    <col min="12571" max="12571" width="45.54296875" style="31" customWidth="1"/>
    <col min="12572" max="12572" width="34.54296875" style="31" bestFit="1" customWidth="1"/>
    <col min="12573" max="12578" width="16.54296875" style="31" customWidth="1"/>
    <col min="12579" max="12579" width="17.453125" style="31" bestFit="1" customWidth="1"/>
    <col min="12580" max="12580" width="16.54296875" style="31" customWidth="1"/>
    <col min="12581" max="12581" width="15.1796875" style="31" customWidth="1"/>
    <col min="12582" max="12582" width="11.453125" style="31" bestFit="1" customWidth="1"/>
    <col min="12583" max="12583" width="13.453125" style="31" customWidth="1"/>
    <col min="12584" max="12825" width="9.1796875" style="31"/>
    <col min="12826" max="12826" width="34" style="31" customWidth="1"/>
    <col min="12827" max="12827" width="45.54296875" style="31" customWidth="1"/>
    <col min="12828" max="12828" width="34.54296875" style="31" bestFit="1" customWidth="1"/>
    <col min="12829" max="12834" width="16.54296875" style="31" customWidth="1"/>
    <col min="12835" max="12835" width="17.453125" style="31" bestFit="1" customWidth="1"/>
    <col min="12836" max="12836" width="16.54296875" style="31" customWidth="1"/>
    <col min="12837" max="12837" width="15.1796875" style="31" customWidth="1"/>
    <col min="12838" max="12838" width="11.453125" style="31" bestFit="1" customWidth="1"/>
    <col min="12839" max="12839" width="13.453125" style="31" customWidth="1"/>
    <col min="12840" max="13081" width="9.1796875" style="31"/>
    <col min="13082" max="13082" width="34" style="31" customWidth="1"/>
    <col min="13083" max="13083" width="45.54296875" style="31" customWidth="1"/>
    <col min="13084" max="13084" width="34.54296875" style="31" bestFit="1" customWidth="1"/>
    <col min="13085" max="13090" width="16.54296875" style="31" customWidth="1"/>
    <col min="13091" max="13091" width="17.453125" style="31" bestFit="1" customWidth="1"/>
    <col min="13092" max="13092" width="16.54296875" style="31" customWidth="1"/>
    <col min="13093" max="13093" width="15.1796875" style="31" customWidth="1"/>
    <col min="13094" max="13094" width="11.453125" style="31" bestFit="1" customWidth="1"/>
    <col min="13095" max="13095" width="13.453125" style="31" customWidth="1"/>
    <col min="13096" max="13337" width="9.1796875" style="31"/>
    <col min="13338" max="13338" width="34" style="31" customWidth="1"/>
    <col min="13339" max="13339" width="45.54296875" style="31" customWidth="1"/>
    <col min="13340" max="13340" width="34.54296875" style="31" bestFit="1" customWidth="1"/>
    <col min="13341" max="13346" width="16.54296875" style="31" customWidth="1"/>
    <col min="13347" max="13347" width="17.453125" style="31" bestFit="1" customWidth="1"/>
    <col min="13348" max="13348" width="16.54296875" style="31" customWidth="1"/>
    <col min="13349" max="13349" width="15.1796875" style="31" customWidth="1"/>
    <col min="13350" max="13350" width="11.453125" style="31" bestFit="1" customWidth="1"/>
    <col min="13351" max="13351" width="13.453125" style="31" customWidth="1"/>
    <col min="13352" max="13593" width="9.1796875" style="31"/>
    <col min="13594" max="13594" width="34" style="31" customWidth="1"/>
    <col min="13595" max="13595" width="45.54296875" style="31" customWidth="1"/>
    <col min="13596" max="13596" width="34.54296875" style="31" bestFit="1" customWidth="1"/>
    <col min="13597" max="13602" width="16.54296875" style="31" customWidth="1"/>
    <col min="13603" max="13603" width="17.453125" style="31" bestFit="1" customWidth="1"/>
    <col min="13604" max="13604" width="16.54296875" style="31" customWidth="1"/>
    <col min="13605" max="13605" width="15.1796875" style="31" customWidth="1"/>
    <col min="13606" max="13606" width="11.453125" style="31" bestFit="1" customWidth="1"/>
    <col min="13607" max="13607" width="13.453125" style="31" customWidth="1"/>
    <col min="13608" max="13849" width="9.1796875" style="31"/>
    <col min="13850" max="13850" width="34" style="31" customWidth="1"/>
    <col min="13851" max="13851" width="45.54296875" style="31" customWidth="1"/>
    <col min="13852" max="13852" width="34.54296875" style="31" bestFit="1" customWidth="1"/>
    <col min="13853" max="13858" width="16.54296875" style="31" customWidth="1"/>
    <col min="13859" max="13859" width="17.453125" style="31" bestFit="1" customWidth="1"/>
    <col min="13860" max="13860" width="16.54296875" style="31" customWidth="1"/>
    <col min="13861" max="13861" width="15.1796875" style="31" customWidth="1"/>
    <col min="13862" max="13862" width="11.453125" style="31" bestFit="1" customWidth="1"/>
    <col min="13863" max="13863" width="13.453125" style="31" customWidth="1"/>
    <col min="13864" max="14105" width="9.1796875" style="31"/>
    <col min="14106" max="14106" width="34" style="31" customWidth="1"/>
    <col min="14107" max="14107" width="45.54296875" style="31" customWidth="1"/>
    <col min="14108" max="14108" width="34.54296875" style="31" bestFit="1" customWidth="1"/>
    <col min="14109" max="14114" width="16.54296875" style="31" customWidth="1"/>
    <col min="14115" max="14115" width="17.453125" style="31" bestFit="1" customWidth="1"/>
    <col min="14116" max="14116" width="16.54296875" style="31" customWidth="1"/>
    <col min="14117" max="14117" width="15.1796875" style="31" customWidth="1"/>
    <col min="14118" max="14118" width="11.453125" style="31" bestFit="1" customWidth="1"/>
    <col min="14119" max="14119" width="13.453125" style="31" customWidth="1"/>
    <col min="14120" max="14361" width="9.1796875" style="31"/>
    <col min="14362" max="14362" width="34" style="31" customWidth="1"/>
    <col min="14363" max="14363" width="45.54296875" style="31" customWidth="1"/>
    <col min="14364" max="14364" width="34.54296875" style="31" bestFit="1" customWidth="1"/>
    <col min="14365" max="14370" width="16.54296875" style="31" customWidth="1"/>
    <col min="14371" max="14371" width="17.453125" style="31" bestFit="1" customWidth="1"/>
    <col min="14372" max="14372" width="16.54296875" style="31" customWidth="1"/>
    <col min="14373" max="14373" width="15.1796875" style="31" customWidth="1"/>
    <col min="14374" max="14374" width="11.453125" style="31" bestFit="1" customWidth="1"/>
    <col min="14375" max="14375" width="13.453125" style="31" customWidth="1"/>
    <col min="14376" max="14617" width="9.1796875" style="31"/>
    <col min="14618" max="14618" width="34" style="31" customWidth="1"/>
    <col min="14619" max="14619" width="45.54296875" style="31" customWidth="1"/>
    <col min="14620" max="14620" width="34.54296875" style="31" bestFit="1" customWidth="1"/>
    <col min="14621" max="14626" width="16.54296875" style="31" customWidth="1"/>
    <col min="14627" max="14627" width="17.453125" style="31" bestFit="1" customWidth="1"/>
    <col min="14628" max="14628" width="16.54296875" style="31" customWidth="1"/>
    <col min="14629" max="14629" width="15.1796875" style="31" customWidth="1"/>
    <col min="14630" max="14630" width="11.453125" style="31" bestFit="1" customWidth="1"/>
    <col min="14631" max="14631" width="13.453125" style="31" customWidth="1"/>
    <col min="14632" max="14873" width="9.1796875" style="31"/>
    <col min="14874" max="14874" width="34" style="31" customWidth="1"/>
    <col min="14875" max="14875" width="45.54296875" style="31" customWidth="1"/>
    <col min="14876" max="14876" width="34.54296875" style="31" bestFit="1" customWidth="1"/>
    <col min="14877" max="14882" width="16.54296875" style="31" customWidth="1"/>
    <col min="14883" max="14883" width="17.453125" style="31" bestFit="1" customWidth="1"/>
    <col min="14884" max="14884" width="16.54296875" style="31" customWidth="1"/>
    <col min="14885" max="14885" width="15.1796875" style="31" customWidth="1"/>
    <col min="14886" max="14886" width="11.453125" style="31" bestFit="1" customWidth="1"/>
    <col min="14887" max="14887" width="13.453125" style="31" customWidth="1"/>
    <col min="14888" max="15129" width="9.1796875" style="31"/>
    <col min="15130" max="15130" width="34" style="31" customWidth="1"/>
    <col min="15131" max="15131" width="45.54296875" style="31" customWidth="1"/>
    <col min="15132" max="15132" width="34.54296875" style="31" bestFit="1" customWidth="1"/>
    <col min="15133" max="15138" width="16.54296875" style="31" customWidth="1"/>
    <col min="15139" max="15139" width="17.453125" style="31" bestFit="1" customWidth="1"/>
    <col min="15140" max="15140" width="16.54296875" style="31" customWidth="1"/>
    <col min="15141" max="15141" width="15.1796875" style="31" customWidth="1"/>
    <col min="15142" max="15142" width="11.453125" style="31" bestFit="1" customWidth="1"/>
    <col min="15143" max="15143" width="13.453125" style="31" customWidth="1"/>
    <col min="15144" max="15385" width="9.1796875" style="31"/>
    <col min="15386" max="15386" width="34" style="31" customWidth="1"/>
    <col min="15387" max="15387" width="45.54296875" style="31" customWidth="1"/>
    <col min="15388" max="15388" width="34.54296875" style="31" bestFit="1" customWidth="1"/>
    <col min="15389" max="15394" width="16.54296875" style="31" customWidth="1"/>
    <col min="15395" max="15395" width="17.453125" style="31" bestFit="1" customWidth="1"/>
    <col min="15396" max="15396" width="16.54296875" style="31" customWidth="1"/>
    <col min="15397" max="15397" width="15.1796875" style="31" customWidth="1"/>
    <col min="15398" max="15398" width="11.453125" style="31" bestFit="1" customWidth="1"/>
    <col min="15399" max="15399" width="13.453125" style="31" customWidth="1"/>
    <col min="15400" max="15641" width="9.1796875" style="31"/>
    <col min="15642" max="15642" width="34" style="31" customWidth="1"/>
    <col min="15643" max="15643" width="45.54296875" style="31" customWidth="1"/>
    <col min="15644" max="15644" width="34.54296875" style="31" bestFit="1" customWidth="1"/>
    <col min="15645" max="15650" width="16.54296875" style="31" customWidth="1"/>
    <col min="15651" max="15651" width="17.453125" style="31" bestFit="1" customWidth="1"/>
    <col min="15652" max="15652" width="16.54296875" style="31" customWidth="1"/>
    <col min="15653" max="15653" width="15.1796875" style="31" customWidth="1"/>
    <col min="15654" max="15654" width="11.453125" style="31" bestFit="1" customWidth="1"/>
    <col min="15655" max="15655" width="13.453125" style="31" customWidth="1"/>
    <col min="15656" max="15897" width="9.1796875" style="31"/>
    <col min="15898" max="15898" width="34" style="31" customWidth="1"/>
    <col min="15899" max="15899" width="45.54296875" style="31" customWidth="1"/>
    <col min="15900" max="15900" width="34.54296875" style="31" bestFit="1" customWidth="1"/>
    <col min="15901" max="15906" width="16.54296875" style="31" customWidth="1"/>
    <col min="15907" max="15907" width="17.453125" style="31" bestFit="1" customWidth="1"/>
    <col min="15908" max="15908" width="16.54296875" style="31" customWidth="1"/>
    <col min="15909" max="15909" width="15.1796875" style="31" customWidth="1"/>
    <col min="15910" max="15910" width="11.453125" style="31" bestFit="1" customWidth="1"/>
    <col min="15911" max="15911" width="13.453125" style="31" customWidth="1"/>
    <col min="15912" max="16153" width="9.1796875" style="31"/>
    <col min="16154" max="16154" width="34" style="31" customWidth="1"/>
    <col min="16155" max="16155" width="45.54296875" style="31" customWidth="1"/>
    <col min="16156" max="16156" width="34.54296875" style="31" bestFit="1" customWidth="1"/>
    <col min="16157" max="16162" width="16.54296875" style="31" customWidth="1"/>
    <col min="16163" max="16163" width="17.453125" style="31" bestFit="1" customWidth="1"/>
    <col min="16164" max="16164" width="16.54296875" style="31" customWidth="1"/>
    <col min="16165" max="16165" width="15.1796875" style="31" customWidth="1"/>
    <col min="16166" max="16166" width="11.453125" style="31" bestFit="1" customWidth="1"/>
    <col min="16167" max="16167" width="13.453125" style="31" customWidth="1"/>
    <col min="16168" max="16380" width="9.1796875" style="31"/>
    <col min="16381" max="16384" width="9.1796875" style="31" customWidth="1"/>
  </cols>
  <sheetData>
    <row r="1" spans="1:44" x14ac:dyDescent="0.35">
      <c r="A1" s="30">
        <v>1</v>
      </c>
      <c r="B1" s="30">
        <f>A1+1</f>
        <v>2</v>
      </c>
      <c r="C1" s="30">
        <f t="shared" ref="C1:AL1" si="0">B1+1</f>
        <v>3</v>
      </c>
      <c r="D1" s="30">
        <f t="shared" si="0"/>
        <v>4</v>
      </c>
      <c r="E1" s="30">
        <f t="shared" si="0"/>
        <v>5</v>
      </c>
      <c r="F1" s="30">
        <f t="shared" si="0"/>
        <v>6</v>
      </c>
      <c r="G1" s="30">
        <f t="shared" si="0"/>
        <v>7</v>
      </c>
      <c r="H1" s="30">
        <f t="shared" si="0"/>
        <v>8</v>
      </c>
      <c r="I1" s="30">
        <f t="shared" si="0"/>
        <v>9</v>
      </c>
      <c r="J1" s="30">
        <f t="shared" si="0"/>
        <v>10</v>
      </c>
      <c r="K1" s="30">
        <f t="shared" si="0"/>
        <v>11</v>
      </c>
      <c r="L1" s="30">
        <f t="shared" si="0"/>
        <v>12</v>
      </c>
      <c r="M1" s="30">
        <f t="shared" si="0"/>
        <v>13</v>
      </c>
      <c r="N1" s="30">
        <f t="shared" si="0"/>
        <v>14</v>
      </c>
      <c r="O1" s="30">
        <f t="shared" si="0"/>
        <v>15</v>
      </c>
      <c r="P1" s="30">
        <f t="shared" si="0"/>
        <v>16</v>
      </c>
      <c r="Q1" s="30">
        <f t="shared" si="0"/>
        <v>17</v>
      </c>
      <c r="R1" s="30">
        <f t="shared" si="0"/>
        <v>18</v>
      </c>
      <c r="S1" s="30">
        <f t="shared" si="0"/>
        <v>19</v>
      </c>
      <c r="T1" s="30">
        <f t="shared" si="0"/>
        <v>20</v>
      </c>
      <c r="U1" s="30">
        <f t="shared" si="0"/>
        <v>21</v>
      </c>
      <c r="V1" s="30">
        <f t="shared" si="0"/>
        <v>22</v>
      </c>
      <c r="W1" s="30">
        <f t="shared" si="0"/>
        <v>23</v>
      </c>
      <c r="X1" s="30">
        <f t="shared" si="0"/>
        <v>24</v>
      </c>
      <c r="Y1" s="30">
        <f t="shared" si="0"/>
        <v>25</v>
      </c>
      <c r="Z1" s="30">
        <f t="shared" si="0"/>
        <v>26</v>
      </c>
      <c r="AA1" s="30">
        <f t="shared" si="0"/>
        <v>27</v>
      </c>
      <c r="AB1" s="30">
        <f t="shared" si="0"/>
        <v>28</v>
      </c>
      <c r="AC1" s="30">
        <f t="shared" si="0"/>
        <v>29</v>
      </c>
      <c r="AD1" s="30">
        <f t="shared" si="0"/>
        <v>30</v>
      </c>
      <c r="AE1" s="30">
        <f t="shared" si="0"/>
        <v>31</v>
      </c>
      <c r="AF1" s="30">
        <f t="shared" si="0"/>
        <v>32</v>
      </c>
      <c r="AG1" s="30">
        <f t="shared" si="0"/>
        <v>33</v>
      </c>
      <c r="AH1" s="30">
        <f t="shared" si="0"/>
        <v>34</v>
      </c>
      <c r="AI1" s="30">
        <f t="shared" si="0"/>
        <v>35</v>
      </c>
      <c r="AJ1" s="30">
        <f t="shared" si="0"/>
        <v>36</v>
      </c>
      <c r="AK1" s="30">
        <f t="shared" si="0"/>
        <v>37</v>
      </c>
      <c r="AL1" s="30">
        <f t="shared" si="0"/>
        <v>38</v>
      </c>
    </row>
    <row r="2" spans="1:44" s="34" customFormat="1" ht="72.5" x14ac:dyDescent="0.35">
      <c r="A2" s="32" t="s">
        <v>4</v>
      </c>
      <c r="B2" s="32" t="s">
        <v>3</v>
      </c>
      <c r="C2" s="32" t="s">
        <v>4</v>
      </c>
      <c r="D2" s="32" t="s">
        <v>16</v>
      </c>
      <c r="E2" s="32" t="s">
        <v>166</v>
      </c>
      <c r="F2" s="32" t="s">
        <v>0</v>
      </c>
      <c r="G2" s="32" t="s">
        <v>1</v>
      </c>
      <c r="H2" s="32" t="s">
        <v>167</v>
      </c>
      <c r="I2" s="52" t="s">
        <v>18</v>
      </c>
      <c r="J2" s="50" t="s">
        <v>2</v>
      </c>
      <c r="K2" s="50" t="s">
        <v>144</v>
      </c>
      <c r="L2" s="50" t="s">
        <v>139</v>
      </c>
      <c r="M2" s="50" t="s">
        <v>74</v>
      </c>
      <c r="N2" s="52" t="s">
        <v>111</v>
      </c>
      <c r="O2" s="52" t="s">
        <v>103</v>
      </c>
      <c r="P2" s="50" t="s">
        <v>86</v>
      </c>
      <c r="Q2" s="50" t="s">
        <v>87</v>
      </c>
      <c r="R2" s="52" t="s">
        <v>21</v>
      </c>
      <c r="S2" s="52" t="s">
        <v>22</v>
      </c>
      <c r="T2" s="50" t="s">
        <v>122</v>
      </c>
      <c r="U2" s="50" t="s">
        <v>17</v>
      </c>
      <c r="V2" s="52" t="s">
        <v>23</v>
      </c>
      <c r="W2" s="50" t="s">
        <v>138</v>
      </c>
      <c r="X2" s="50" t="s">
        <v>137</v>
      </c>
      <c r="Y2" s="50" t="s">
        <v>135</v>
      </c>
      <c r="Z2" s="50" t="s">
        <v>134</v>
      </c>
      <c r="AA2" s="50" t="s">
        <v>133</v>
      </c>
      <c r="AB2" s="52" t="s">
        <v>116</v>
      </c>
      <c r="AC2" s="32" t="s">
        <v>113</v>
      </c>
      <c r="AD2" s="32" t="s">
        <v>112</v>
      </c>
      <c r="AE2" s="32" t="s">
        <v>110</v>
      </c>
      <c r="AF2" s="32" t="s">
        <v>109</v>
      </c>
      <c r="AG2" s="32" t="s">
        <v>97</v>
      </c>
      <c r="AH2" s="32" t="s">
        <v>92</v>
      </c>
      <c r="AI2" s="32" t="s">
        <v>93</v>
      </c>
      <c r="AJ2" s="32" t="s">
        <v>94</v>
      </c>
      <c r="AK2" s="32" t="s">
        <v>95</v>
      </c>
      <c r="AL2" s="50" t="s">
        <v>24</v>
      </c>
      <c r="AM2" s="33"/>
    </row>
    <row r="3" spans="1:44" x14ac:dyDescent="0.35">
      <c r="A3" s="27" t="s">
        <v>26</v>
      </c>
      <c r="B3" s="27" t="s">
        <v>26</v>
      </c>
      <c r="C3" s="35" t="s">
        <v>65</v>
      </c>
      <c r="D3" s="35"/>
      <c r="E3" s="61" t="s">
        <v>155</v>
      </c>
      <c r="F3" s="27"/>
      <c r="G3" s="27"/>
      <c r="H3" s="27"/>
      <c r="I3" s="28">
        <v>12000000</v>
      </c>
      <c r="J3" s="28">
        <f>SUM(X3:AK3)</f>
        <v>6508925</v>
      </c>
      <c r="K3" s="36">
        <v>46184</v>
      </c>
      <c r="L3" s="53">
        <v>699633</v>
      </c>
      <c r="M3" s="53">
        <v>625430.08739999996</v>
      </c>
      <c r="N3" s="53">
        <v>0</v>
      </c>
      <c r="O3" s="53">
        <v>0</v>
      </c>
      <c r="P3" s="53">
        <v>60493.150699999998</v>
      </c>
      <c r="Q3" s="53">
        <v>13709.761900000041</v>
      </c>
      <c r="R3" s="53"/>
      <c r="S3" s="53"/>
      <c r="T3" s="53">
        <v>209877</v>
      </c>
      <c r="U3" s="53">
        <v>22948.9</v>
      </c>
      <c r="V3" s="53"/>
      <c r="W3" s="53">
        <f>L3+T3-U3</f>
        <v>886561.1</v>
      </c>
      <c r="X3" s="53"/>
      <c r="Y3" s="28">
        <v>478013</v>
      </c>
      <c r="Z3" s="28">
        <v>978334</v>
      </c>
      <c r="AA3" s="28">
        <v>436802</v>
      </c>
      <c r="AB3" s="28">
        <v>374359</v>
      </c>
      <c r="AC3" s="28">
        <v>1088971</v>
      </c>
      <c r="AD3" s="28">
        <v>399094</v>
      </c>
      <c r="AE3" s="28">
        <v>101137</v>
      </c>
      <c r="AF3" s="28">
        <v>779787</v>
      </c>
      <c r="AG3" s="28">
        <v>251916</v>
      </c>
      <c r="AH3" s="28">
        <v>412954</v>
      </c>
      <c r="AI3" s="28">
        <v>97115</v>
      </c>
      <c r="AJ3" s="28">
        <v>97942</v>
      </c>
      <c r="AK3" s="28">
        <v>1012501</v>
      </c>
      <c r="AL3" s="37">
        <f>(W3+J3+U3)/I3</f>
        <v>0.61820291666666671</v>
      </c>
      <c r="AM3" s="38"/>
      <c r="AN3" s="51"/>
      <c r="AO3" s="38"/>
      <c r="AQ3" s="40"/>
      <c r="AR3" s="40"/>
    </row>
    <row r="4" spans="1:44" x14ac:dyDescent="0.35">
      <c r="A4" s="27" t="s">
        <v>27</v>
      </c>
      <c r="B4" s="27" t="s">
        <v>27</v>
      </c>
      <c r="C4" s="35" t="s">
        <v>65</v>
      </c>
      <c r="D4" s="35"/>
      <c r="E4" s="61" t="s">
        <v>155</v>
      </c>
      <c r="F4" s="27"/>
      <c r="G4" s="27"/>
      <c r="H4" s="27"/>
      <c r="I4" s="28">
        <v>40000000</v>
      </c>
      <c r="J4" s="28">
        <f t="shared" ref="J4:J59" si="1">SUM(X4:AK4)</f>
        <v>22396010</v>
      </c>
      <c r="K4" s="36">
        <v>46184</v>
      </c>
      <c r="L4" s="53">
        <v>2332111</v>
      </c>
      <c r="M4" s="53">
        <v>2084766.9578</v>
      </c>
      <c r="N4" s="53">
        <v>0</v>
      </c>
      <c r="O4" s="53">
        <v>0</v>
      </c>
      <c r="P4" s="53">
        <v>201643.83559999999</v>
      </c>
      <c r="Q4" s="53">
        <v>45700.206600000034</v>
      </c>
      <c r="R4" s="53"/>
      <c r="S4" s="53"/>
      <c r="T4" s="53"/>
      <c r="U4" s="53"/>
      <c r="V4" s="53"/>
      <c r="W4" s="53">
        <f t="shared" ref="W4:W60" si="2">L4+T4-U4</f>
        <v>2332111</v>
      </c>
      <c r="X4" s="53">
        <v>699590</v>
      </c>
      <c r="Y4" s="28">
        <v>1593377</v>
      </c>
      <c r="Z4" s="28">
        <v>3261113</v>
      </c>
      <c r="AA4" s="28">
        <v>1456018</v>
      </c>
      <c r="AB4" s="28">
        <v>1247860</v>
      </c>
      <c r="AC4" s="28">
        <v>3629904</v>
      </c>
      <c r="AD4" s="28">
        <v>1330311</v>
      </c>
      <c r="AE4" s="28">
        <v>337120</v>
      </c>
      <c r="AF4" s="28">
        <v>2599290</v>
      </c>
      <c r="AG4" s="28">
        <v>839720</v>
      </c>
      <c r="AH4" s="28">
        <v>1376513</v>
      </c>
      <c r="AI4" s="28">
        <v>323715</v>
      </c>
      <c r="AJ4" s="28">
        <v>326475</v>
      </c>
      <c r="AK4" s="28">
        <v>3375004</v>
      </c>
      <c r="AL4" s="37">
        <f t="shared" ref="AL4:AL60" si="3">(W4+J4+U4)/I4</f>
        <v>0.61820302500000002</v>
      </c>
      <c r="AM4" s="39"/>
      <c r="AN4" s="51"/>
      <c r="AO4" s="38"/>
      <c r="AQ4" s="40"/>
      <c r="AR4" s="40"/>
    </row>
    <row r="5" spans="1:44" x14ac:dyDescent="0.35">
      <c r="A5" s="27" t="s">
        <v>28</v>
      </c>
      <c r="B5" s="27" t="s">
        <v>28</v>
      </c>
      <c r="C5" s="35" t="s">
        <v>65</v>
      </c>
      <c r="D5" s="35"/>
      <c r="E5" s="61" t="s">
        <v>155</v>
      </c>
      <c r="F5" s="27"/>
      <c r="G5" s="27"/>
      <c r="H5" s="27"/>
      <c r="I5" s="29">
        <v>10000000</v>
      </c>
      <c r="J5" s="28">
        <f t="shared" si="1"/>
        <v>5599003</v>
      </c>
      <c r="K5" s="36">
        <v>46184</v>
      </c>
      <c r="L5" s="53">
        <v>583028</v>
      </c>
      <c r="M5" s="53">
        <v>521191.73950000003</v>
      </c>
      <c r="N5" s="53">
        <v>0</v>
      </c>
      <c r="O5" s="53">
        <v>0</v>
      </c>
      <c r="P5" s="53">
        <v>50410.958899999998</v>
      </c>
      <c r="Q5" s="53">
        <v>11425.301599999977</v>
      </c>
      <c r="R5" s="53"/>
      <c r="S5" s="53"/>
      <c r="T5" s="53"/>
      <c r="U5" s="53"/>
      <c r="V5" s="53"/>
      <c r="W5" s="53">
        <f t="shared" si="2"/>
        <v>583028</v>
      </c>
      <c r="X5" s="53">
        <v>174897</v>
      </c>
      <c r="Y5" s="28">
        <v>398345</v>
      </c>
      <c r="Z5" s="28">
        <v>815279</v>
      </c>
      <c r="AA5" s="28">
        <v>364002</v>
      </c>
      <c r="AB5" s="28">
        <v>311966</v>
      </c>
      <c r="AC5" s="28">
        <v>907475</v>
      </c>
      <c r="AD5" s="28">
        <v>332577</v>
      </c>
      <c r="AE5" s="28">
        <v>84283</v>
      </c>
      <c r="AF5" s="28">
        <v>649822</v>
      </c>
      <c r="AG5" s="28">
        <v>209930</v>
      </c>
      <c r="AH5" s="28">
        <v>344128</v>
      </c>
      <c r="AI5" s="28">
        <v>80929</v>
      </c>
      <c r="AJ5" s="28">
        <v>81619</v>
      </c>
      <c r="AK5" s="28">
        <v>843751</v>
      </c>
      <c r="AL5" s="37">
        <f t="shared" si="3"/>
        <v>0.61820310000000001</v>
      </c>
      <c r="AM5" s="38"/>
      <c r="AN5" s="51"/>
      <c r="AO5" s="38"/>
      <c r="AQ5" s="40"/>
      <c r="AR5" s="40"/>
    </row>
    <row r="6" spans="1:44" x14ac:dyDescent="0.35">
      <c r="A6" s="27" t="s">
        <v>29</v>
      </c>
      <c r="B6" s="27" t="s">
        <v>29</v>
      </c>
      <c r="C6" s="35" t="s">
        <v>65</v>
      </c>
      <c r="D6" s="35"/>
      <c r="E6" s="61" t="s">
        <v>155</v>
      </c>
      <c r="F6" s="27"/>
      <c r="G6" s="27"/>
      <c r="H6" s="27"/>
      <c r="I6" s="29">
        <v>30000000</v>
      </c>
      <c r="J6" s="28">
        <f t="shared" si="1"/>
        <v>16797010</v>
      </c>
      <c r="K6" s="36">
        <v>46184</v>
      </c>
      <c r="L6" s="53">
        <v>1749083</v>
      </c>
      <c r="M6" s="53">
        <v>1563575.2183999999</v>
      </c>
      <c r="N6" s="53">
        <v>0</v>
      </c>
      <c r="O6" s="53">
        <v>0</v>
      </c>
      <c r="P6" s="53">
        <v>151232.87669999999</v>
      </c>
      <c r="Q6" s="53">
        <v>34274.904900000111</v>
      </c>
      <c r="R6" s="53"/>
      <c r="S6" s="53"/>
      <c r="T6" s="53"/>
      <c r="U6" s="53"/>
      <c r="V6" s="53"/>
      <c r="W6" s="53">
        <f t="shared" si="2"/>
        <v>1749083</v>
      </c>
      <c r="X6" s="53">
        <v>524692</v>
      </c>
      <c r="Y6" s="28">
        <v>1195033</v>
      </c>
      <c r="Z6" s="28">
        <v>2445836</v>
      </c>
      <c r="AA6" s="28">
        <v>1092015</v>
      </c>
      <c r="AB6" s="28">
        <v>935896</v>
      </c>
      <c r="AC6" s="28">
        <v>2722429</v>
      </c>
      <c r="AD6" s="28">
        <v>997732</v>
      </c>
      <c r="AE6" s="28">
        <v>252839</v>
      </c>
      <c r="AF6" s="28">
        <v>1949468</v>
      </c>
      <c r="AG6" s="28">
        <v>629790</v>
      </c>
      <c r="AH6" s="28">
        <v>1032385</v>
      </c>
      <c r="AI6" s="28">
        <v>242786</v>
      </c>
      <c r="AJ6" s="28">
        <v>244856</v>
      </c>
      <c r="AK6" s="28">
        <v>2531253</v>
      </c>
      <c r="AL6" s="37">
        <f t="shared" si="3"/>
        <v>0.61820310000000001</v>
      </c>
      <c r="AM6" s="38"/>
      <c r="AN6" s="51"/>
      <c r="AO6" s="38"/>
      <c r="AQ6" s="40"/>
      <c r="AR6" s="40"/>
    </row>
    <row r="7" spans="1:44" x14ac:dyDescent="0.35">
      <c r="A7" s="27" t="s">
        <v>30</v>
      </c>
      <c r="B7" s="27" t="s">
        <v>30</v>
      </c>
      <c r="C7" s="35" t="s">
        <v>65</v>
      </c>
      <c r="D7" s="35"/>
      <c r="E7" s="61" t="s">
        <v>155</v>
      </c>
      <c r="F7" s="27"/>
      <c r="G7" s="27"/>
      <c r="H7" s="27"/>
      <c r="I7" s="29">
        <v>20000000</v>
      </c>
      <c r="J7" s="28">
        <f t="shared" si="1"/>
        <v>11198003</v>
      </c>
      <c r="K7" s="36">
        <v>46184</v>
      </c>
      <c r="L7" s="53">
        <v>1166055</v>
      </c>
      <c r="M7" s="53">
        <v>1042383.4789</v>
      </c>
      <c r="N7" s="53">
        <v>0</v>
      </c>
      <c r="O7" s="53">
        <v>0</v>
      </c>
      <c r="P7" s="53">
        <v>100821.9178</v>
      </c>
      <c r="Q7" s="53">
        <v>22849.603300000017</v>
      </c>
      <c r="R7" s="53"/>
      <c r="S7" s="53"/>
      <c r="T7" s="53"/>
      <c r="U7" s="53"/>
      <c r="V7" s="53"/>
      <c r="W7" s="53">
        <f t="shared" si="2"/>
        <v>1166055</v>
      </c>
      <c r="X7" s="53">
        <v>349795</v>
      </c>
      <c r="Y7" s="28">
        <v>796688</v>
      </c>
      <c r="Z7" s="28">
        <v>1630556</v>
      </c>
      <c r="AA7" s="28">
        <v>728007</v>
      </c>
      <c r="AB7" s="28">
        <v>623930</v>
      </c>
      <c r="AC7" s="28">
        <v>1814953</v>
      </c>
      <c r="AD7" s="28">
        <v>665157</v>
      </c>
      <c r="AE7" s="28">
        <v>168559</v>
      </c>
      <c r="AF7" s="28">
        <v>1299644</v>
      </c>
      <c r="AG7" s="28">
        <v>419860</v>
      </c>
      <c r="AH7" s="28">
        <v>688257</v>
      </c>
      <c r="AI7" s="28">
        <v>161858</v>
      </c>
      <c r="AJ7" s="28">
        <v>163237</v>
      </c>
      <c r="AK7" s="28">
        <v>1687502</v>
      </c>
      <c r="AL7" s="37">
        <f t="shared" si="3"/>
        <v>0.6182029</v>
      </c>
      <c r="AM7" s="38"/>
      <c r="AN7" s="51"/>
      <c r="AO7" s="38"/>
      <c r="AQ7" s="40"/>
      <c r="AR7" s="40"/>
    </row>
    <row r="8" spans="1:44" ht="29" x14ac:dyDescent="0.35">
      <c r="A8" s="27" t="s">
        <v>98</v>
      </c>
      <c r="B8" s="27" t="s">
        <v>98</v>
      </c>
      <c r="C8" s="35" t="s">
        <v>65</v>
      </c>
      <c r="D8" s="35"/>
      <c r="E8" s="61" t="s">
        <v>157</v>
      </c>
      <c r="F8" s="27"/>
      <c r="G8" s="27"/>
      <c r="H8" s="27"/>
      <c r="I8" s="29">
        <v>10000000</v>
      </c>
      <c r="J8" s="28">
        <f t="shared" si="1"/>
        <v>5599003</v>
      </c>
      <c r="K8" s="36">
        <v>46184</v>
      </c>
      <c r="L8" s="53">
        <v>583028</v>
      </c>
      <c r="M8" s="53">
        <v>521191.73950000003</v>
      </c>
      <c r="N8" s="53">
        <v>0</v>
      </c>
      <c r="O8" s="53">
        <v>0</v>
      </c>
      <c r="P8" s="53">
        <v>50410.958899999998</v>
      </c>
      <c r="Q8" s="53">
        <v>11425.301599999977</v>
      </c>
      <c r="R8" s="53"/>
      <c r="S8" s="53"/>
      <c r="T8" s="53"/>
      <c r="U8" s="53"/>
      <c r="V8" s="53"/>
      <c r="W8" s="53">
        <f t="shared" si="2"/>
        <v>583028</v>
      </c>
      <c r="X8" s="53">
        <v>174897</v>
      </c>
      <c r="Y8" s="28">
        <v>398345</v>
      </c>
      <c r="Z8" s="28">
        <v>815279</v>
      </c>
      <c r="AA8" s="28">
        <v>364002</v>
      </c>
      <c r="AB8" s="28">
        <v>311966</v>
      </c>
      <c r="AC8" s="28">
        <v>907475</v>
      </c>
      <c r="AD8" s="28">
        <v>332577</v>
      </c>
      <c r="AE8" s="28">
        <v>84205</v>
      </c>
      <c r="AF8" s="28">
        <v>2210257</v>
      </c>
      <c r="AG8" s="28"/>
      <c r="AH8" s="28"/>
      <c r="AI8" s="28"/>
      <c r="AJ8" s="28"/>
      <c r="AK8" s="28"/>
      <c r="AL8" s="37">
        <f t="shared" si="3"/>
        <v>0.61820310000000001</v>
      </c>
      <c r="AM8" s="38"/>
      <c r="AN8" s="51"/>
      <c r="AO8" s="38"/>
      <c r="AQ8" s="40"/>
      <c r="AR8" s="40"/>
    </row>
    <row r="9" spans="1:44" ht="29" x14ac:dyDescent="0.35">
      <c r="A9" s="27" t="s">
        <v>104</v>
      </c>
      <c r="B9" s="27" t="s">
        <v>104</v>
      </c>
      <c r="C9" s="35" t="s">
        <v>65</v>
      </c>
      <c r="D9" s="35"/>
      <c r="E9" s="61" t="s">
        <v>156</v>
      </c>
      <c r="F9" s="27"/>
      <c r="G9" s="27"/>
      <c r="H9" s="27"/>
      <c r="I9" s="29">
        <v>100000000</v>
      </c>
      <c r="J9" s="28">
        <f t="shared" si="1"/>
        <v>55990022</v>
      </c>
      <c r="K9" s="36">
        <v>46184</v>
      </c>
      <c r="L9" s="53">
        <v>5830278</v>
      </c>
      <c r="M9" s="53">
        <v>5211917.3946000002</v>
      </c>
      <c r="N9" s="53">
        <v>0</v>
      </c>
      <c r="O9" s="53">
        <v>0</v>
      </c>
      <c r="P9" s="53">
        <v>504109.58899999998</v>
      </c>
      <c r="Q9" s="53">
        <v>114251.01639999979</v>
      </c>
      <c r="R9" s="53"/>
      <c r="S9" s="53"/>
      <c r="T9" s="53"/>
      <c r="U9" s="53"/>
      <c r="V9" s="53"/>
      <c r="W9" s="53">
        <f t="shared" si="2"/>
        <v>5830278</v>
      </c>
      <c r="X9" s="53">
        <v>1748974</v>
      </c>
      <c r="Y9" s="28">
        <v>3983442</v>
      </c>
      <c r="Z9" s="28">
        <v>8152784</v>
      </c>
      <c r="AA9" s="28">
        <v>3640043</v>
      </c>
      <c r="AB9" s="28">
        <v>3119652</v>
      </c>
      <c r="AC9" s="28">
        <v>9074762</v>
      </c>
      <c r="AD9" s="28">
        <v>3325593</v>
      </c>
      <c r="AE9" s="28">
        <v>22944772</v>
      </c>
      <c r="AF9" s="28"/>
      <c r="AG9" s="28"/>
      <c r="AH9" s="28"/>
      <c r="AI9" s="28"/>
      <c r="AJ9" s="28"/>
      <c r="AK9" s="28"/>
      <c r="AL9" s="37">
        <f t="shared" si="3"/>
        <v>0.61820299999999995</v>
      </c>
      <c r="AM9" s="38"/>
      <c r="AN9" s="51"/>
      <c r="AO9" s="38"/>
      <c r="AQ9" s="40"/>
      <c r="AR9" s="40"/>
    </row>
    <row r="10" spans="1:44" x14ac:dyDescent="0.35">
      <c r="A10" s="27" t="s">
        <v>31</v>
      </c>
      <c r="B10" s="27" t="s">
        <v>31</v>
      </c>
      <c r="C10" s="35" t="s">
        <v>66</v>
      </c>
      <c r="D10" s="35"/>
      <c r="E10" s="61" t="s">
        <v>158</v>
      </c>
      <c r="F10" s="27"/>
      <c r="G10" s="27"/>
      <c r="H10" s="27"/>
      <c r="I10" s="28">
        <v>1000000000</v>
      </c>
      <c r="J10" s="28">
        <f t="shared" si="1"/>
        <v>550602644</v>
      </c>
      <c r="K10" s="36">
        <v>46184</v>
      </c>
      <c r="L10" s="53">
        <v>57546577</v>
      </c>
      <c r="M10" s="53">
        <v>52119173.945900001</v>
      </c>
      <c r="N10" s="53">
        <v>0</v>
      </c>
      <c r="O10" s="53">
        <v>0</v>
      </c>
      <c r="P10" s="53">
        <v>4284931.5067999996</v>
      </c>
      <c r="Q10" s="53">
        <v>1142471.5472999997</v>
      </c>
      <c r="R10" s="53"/>
      <c r="S10" s="53"/>
      <c r="T10" s="53"/>
      <c r="U10" s="53"/>
      <c r="V10" s="53"/>
      <c r="W10" s="53">
        <f t="shared" si="2"/>
        <v>57546577</v>
      </c>
      <c r="X10" s="53">
        <v>16741761</v>
      </c>
      <c r="Y10" s="28">
        <v>39086435</v>
      </c>
      <c r="Z10" s="28">
        <v>81527842</v>
      </c>
      <c r="AA10" s="28">
        <v>35193004</v>
      </c>
      <c r="AB10" s="28">
        <v>30448534</v>
      </c>
      <c r="AC10" s="28">
        <v>89758177</v>
      </c>
      <c r="AD10" s="28">
        <v>33473429</v>
      </c>
      <c r="AE10" s="28">
        <v>8165037</v>
      </c>
      <c r="AF10" s="28">
        <v>64226246</v>
      </c>
      <c r="AG10" s="28">
        <v>20236797</v>
      </c>
      <c r="AH10" s="28">
        <v>33664853</v>
      </c>
      <c r="AI10" s="28">
        <v>7327218</v>
      </c>
      <c r="AJ10" s="28">
        <v>7405612</v>
      </c>
      <c r="AK10" s="28">
        <v>83347699</v>
      </c>
      <c r="AL10" s="37">
        <f t="shared" si="3"/>
        <v>0.60814922100000002</v>
      </c>
      <c r="AM10" s="38"/>
      <c r="AN10" s="51"/>
      <c r="AO10" s="38"/>
      <c r="AQ10" s="40"/>
      <c r="AR10" s="40"/>
    </row>
    <row r="11" spans="1:44" ht="29" x14ac:dyDescent="0.35">
      <c r="A11" s="27" t="s">
        <v>32</v>
      </c>
      <c r="B11" s="27" t="s">
        <v>32</v>
      </c>
      <c r="C11" s="35" t="s">
        <v>67</v>
      </c>
      <c r="D11" s="35"/>
      <c r="E11" s="61" t="s">
        <v>114</v>
      </c>
      <c r="F11" s="27"/>
      <c r="G11" s="27"/>
      <c r="H11" s="27"/>
      <c r="I11" s="28">
        <v>20000000</v>
      </c>
      <c r="J11" s="28">
        <f t="shared" si="1"/>
        <v>11198002</v>
      </c>
      <c r="K11" s="36">
        <v>46184</v>
      </c>
      <c r="L11" s="53">
        <v>1166055</v>
      </c>
      <c r="M11" s="53">
        <v>1042383.4789</v>
      </c>
      <c r="N11" s="53">
        <v>0</v>
      </c>
      <c r="O11" s="53">
        <v>0</v>
      </c>
      <c r="P11" s="53">
        <v>100821.9178</v>
      </c>
      <c r="Q11" s="53">
        <v>22849.603300000017</v>
      </c>
      <c r="R11" s="53"/>
      <c r="S11" s="53"/>
      <c r="T11" s="53"/>
      <c r="U11" s="53"/>
      <c r="V11" s="53"/>
      <c r="W11" s="53">
        <f t="shared" si="2"/>
        <v>1166055</v>
      </c>
      <c r="X11" s="53">
        <v>349795</v>
      </c>
      <c r="Y11" s="28">
        <v>796688</v>
      </c>
      <c r="Z11" s="28">
        <v>1630556</v>
      </c>
      <c r="AA11" s="28">
        <v>4574483</v>
      </c>
      <c r="AB11" s="28">
        <v>311966</v>
      </c>
      <c r="AC11" s="28">
        <v>907475</v>
      </c>
      <c r="AD11" s="28">
        <v>332577</v>
      </c>
      <c r="AE11" s="28">
        <v>84283</v>
      </c>
      <c r="AF11" s="28">
        <v>649822</v>
      </c>
      <c r="AG11" s="28">
        <v>209930</v>
      </c>
      <c r="AH11" s="28">
        <v>344128</v>
      </c>
      <c r="AI11" s="28">
        <v>80929</v>
      </c>
      <c r="AJ11" s="28">
        <v>81619</v>
      </c>
      <c r="AK11" s="28">
        <v>843751</v>
      </c>
      <c r="AL11" s="37">
        <f t="shared" si="3"/>
        <v>0.61820284999999997</v>
      </c>
      <c r="AM11" s="38"/>
      <c r="AN11" s="51"/>
      <c r="AO11" s="38"/>
      <c r="AQ11" s="40"/>
      <c r="AR11" s="40"/>
    </row>
    <row r="12" spans="1:44" ht="29" x14ac:dyDescent="0.35">
      <c r="A12" s="27" t="s">
        <v>33</v>
      </c>
      <c r="B12" s="27" t="s">
        <v>33</v>
      </c>
      <c r="C12" s="35" t="s">
        <v>67</v>
      </c>
      <c r="D12" s="35"/>
      <c r="E12" s="61" t="s">
        <v>114</v>
      </c>
      <c r="F12" s="27"/>
      <c r="G12" s="27"/>
      <c r="H12" s="27"/>
      <c r="I12" s="28">
        <v>10000000</v>
      </c>
      <c r="J12" s="28">
        <f t="shared" si="1"/>
        <v>5424106</v>
      </c>
      <c r="K12" s="36">
        <v>46184</v>
      </c>
      <c r="L12" s="53">
        <v>583028</v>
      </c>
      <c r="M12" s="53">
        <v>521191.73950000003</v>
      </c>
      <c r="N12" s="53">
        <v>0</v>
      </c>
      <c r="O12" s="53">
        <v>0</v>
      </c>
      <c r="P12" s="53">
        <v>50410.958899999998</v>
      </c>
      <c r="Q12" s="53">
        <v>11425.301599999977</v>
      </c>
      <c r="R12" s="53"/>
      <c r="S12" s="53"/>
      <c r="T12" s="53">
        <v>174897</v>
      </c>
      <c r="U12" s="53"/>
      <c r="V12" s="53"/>
      <c r="W12" s="53">
        <f t="shared" si="2"/>
        <v>757925</v>
      </c>
      <c r="X12" s="53"/>
      <c r="Y12" s="28">
        <v>398345</v>
      </c>
      <c r="Z12" s="28">
        <v>815279</v>
      </c>
      <c r="AA12" s="28">
        <v>364002</v>
      </c>
      <c r="AB12" s="28">
        <v>311966</v>
      </c>
      <c r="AC12" s="28">
        <v>907475</v>
      </c>
      <c r="AD12" s="28">
        <v>332577</v>
      </c>
      <c r="AE12" s="28">
        <v>84283</v>
      </c>
      <c r="AF12" s="28">
        <v>649822</v>
      </c>
      <c r="AG12" s="28">
        <v>209930</v>
      </c>
      <c r="AH12" s="28">
        <v>344128</v>
      </c>
      <c r="AI12" s="28">
        <v>80929</v>
      </c>
      <c r="AJ12" s="28">
        <v>81619</v>
      </c>
      <c r="AK12" s="28">
        <v>843751</v>
      </c>
      <c r="AL12" s="37">
        <f t="shared" si="3"/>
        <v>0.61820310000000001</v>
      </c>
      <c r="AM12" s="38"/>
      <c r="AN12" s="51"/>
      <c r="AO12" s="38"/>
      <c r="AQ12" s="40"/>
      <c r="AR12" s="40"/>
    </row>
    <row r="13" spans="1:44" ht="29" x14ac:dyDescent="0.35">
      <c r="A13" s="27" t="s">
        <v>34</v>
      </c>
      <c r="B13" s="27" t="s">
        <v>34</v>
      </c>
      <c r="C13" s="35" t="s">
        <v>67</v>
      </c>
      <c r="D13" s="35"/>
      <c r="E13" s="61" t="s">
        <v>114</v>
      </c>
      <c r="F13" s="27"/>
      <c r="G13" s="27"/>
      <c r="H13" s="27"/>
      <c r="I13" s="28">
        <v>10000000</v>
      </c>
      <c r="J13" s="28">
        <f t="shared" si="1"/>
        <v>5599003</v>
      </c>
      <c r="K13" s="36">
        <v>46184</v>
      </c>
      <c r="L13" s="53">
        <v>583028</v>
      </c>
      <c r="M13" s="53">
        <v>521191.73950000003</v>
      </c>
      <c r="N13" s="53">
        <v>0</v>
      </c>
      <c r="O13" s="53">
        <v>0</v>
      </c>
      <c r="P13" s="53">
        <v>50410.958899999998</v>
      </c>
      <c r="Q13" s="53">
        <v>11425.301599999977</v>
      </c>
      <c r="R13" s="53"/>
      <c r="S13" s="53"/>
      <c r="T13" s="53"/>
      <c r="U13" s="53"/>
      <c r="V13" s="53"/>
      <c r="W13" s="53">
        <f t="shared" si="2"/>
        <v>583028</v>
      </c>
      <c r="X13" s="53">
        <v>174897</v>
      </c>
      <c r="Y13" s="28">
        <v>398345</v>
      </c>
      <c r="Z13" s="28">
        <v>815279</v>
      </c>
      <c r="AA13" s="28">
        <v>364002</v>
      </c>
      <c r="AB13" s="28">
        <v>311966</v>
      </c>
      <c r="AC13" s="28">
        <v>907475</v>
      </c>
      <c r="AD13" s="28">
        <v>332577</v>
      </c>
      <c r="AE13" s="28">
        <v>84283</v>
      </c>
      <c r="AF13" s="28">
        <v>649822</v>
      </c>
      <c r="AG13" s="28">
        <v>209930</v>
      </c>
      <c r="AH13" s="28">
        <v>344128</v>
      </c>
      <c r="AI13" s="28">
        <v>80929</v>
      </c>
      <c r="AJ13" s="28">
        <v>81619</v>
      </c>
      <c r="AK13" s="28">
        <v>843751</v>
      </c>
      <c r="AL13" s="37">
        <f t="shared" si="3"/>
        <v>0.61820310000000001</v>
      </c>
      <c r="AM13" s="38"/>
      <c r="AN13" s="51"/>
      <c r="AO13" s="38"/>
      <c r="AQ13" s="40"/>
      <c r="AR13" s="40"/>
    </row>
    <row r="14" spans="1:44" ht="29" x14ac:dyDescent="0.35">
      <c r="A14" s="27" t="s">
        <v>35</v>
      </c>
      <c r="B14" s="27" t="s">
        <v>35</v>
      </c>
      <c r="C14" s="35" t="s">
        <v>67</v>
      </c>
      <c r="D14" s="35"/>
      <c r="E14" s="61" t="s">
        <v>114</v>
      </c>
      <c r="F14" s="27"/>
      <c r="G14" s="27"/>
      <c r="H14" s="27"/>
      <c r="I14" s="28">
        <v>10000000</v>
      </c>
      <c r="J14" s="28">
        <f t="shared" si="1"/>
        <v>5599003</v>
      </c>
      <c r="K14" s="36">
        <v>46184</v>
      </c>
      <c r="L14" s="53">
        <v>583028</v>
      </c>
      <c r="M14" s="53">
        <v>521191.73950000003</v>
      </c>
      <c r="N14" s="53">
        <v>0</v>
      </c>
      <c r="O14" s="53">
        <v>0</v>
      </c>
      <c r="P14" s="53">
        <v>50410.958899999998</v>
      </c>
      <c r="Q14" s="53">
        <v>11425.301599999977</v>
      </c>
      <c r="R14" s="53"/>
      <c r="S14" s="53"/>
      <c r="T14" s="53"/>
      <c r="U14" s="53">
        <v>648</v>
      </c>
      <c r="V14" s="53"/>
      <c r="W14" s="53">
        <f t="shared" si="2"/>
        <v>582380</v>
      </c>
      <c r="X14" s="53">
        <v>174897</v>
      </c>
      <c r="Y14" s="28">
        <v>398345</v>
      </c>
      <c r="Z14" s="28">
        <v>815279</v>
      </c>
      <c r="AA14" s="28">
        <v>364002</v>
      </c>
      <c r="AB14" s="28">
        <v>311966</v>
      </c>
      <c r="AC14" s="28">
        <v>907475</v>
      </c>
      <c r="AD14" s="28">
        <v>332577</v>
      </c>
      <c r="AE14" s="28">
        <v>84283</v>
      </c>
      <c r="AF14" s="28">
        <v>649822</v>
      </c>
      <c r="AG14" s="28">
        <v>209930</v>
      </c>
      <c r="AH14" s="28">
        <v>344128</v>
      </c>
      <c r="AI14" s="28">
        <v>80929</v>
      </c>
      <c r="AJ14" s="28">
        <v>81619</v>
      </c>
      <c r="AK14" s="28">
        <v>843751</v>
      </c>
      <c r="AL14" s="37">
        <f t="shared" si="3"/>
        <v>0.61820310000000001</v>
      </c>
      <c r="AM14" s="38"/>
      <c r="AN14" s="51"/>
      <c r="AO14" s="38"/>
      <c r="AQ14" s="40"/>
      <c r="AR14" s="40"/>
    </row>
    <row r="15" spans="1:44" ht="29" x14ac:dyDescent="0.35">
      <c r="A15" s="27" t="s">
        <v>36</v>
      </c>
      <c r="B15" s="27" t="s">
        <v>36</v>
      </c>
      <c r="C15" s="35" t="s">
        <v>67</v>
      </c>
      <c r="D15" s="35"/>
      <c r="E15" s="61" t="s">
        <v>114</v>
      </c>
      <c r="F15" s="27"/>
      <c r="G15" s="27"/>
      <c r="H15" s="27"/>
      <c r="I15" s="28">
        <v>10000000</v>
      </c>
      <c r="J15" s="28">
        <f t="shared" si="1"/>
        <v>5599003</v>
      </c>
      <c r="K15" s="36">
        <v>46184</v>
      </c>
      <c r="L15" s="53">
        <v>583028</v>
      </c>
      <c r="M15" s="53">
        <v>521191.73950000003</v>
      </c>
      <c r="N15" s="53">
        <v>0</v>
      </c>
      <c r="O15" s="53">
        <v>0</v>
      </c>
      <c r="P15" s="53">
        <v>50410.958899999998</v>
      </c>
      <c r="Q15" s="53">
        <v>11425.301599999977</v>
      </c>
      <c r="R15" s="53"/>
      <c r="S15" s="53"/>
      <c r="T15" s="53"/>
      <c r="U15" s="53"/>
      <c r="V15" s="53"/>
      <c r="W15" s="53">
        <f t="shared" si="2"/>
        <v>583028</v>
      </c>
      <c r="X15" s="53">
        <v>174897</v>
      </c>
      <c r="Y15" s="28">
        <v>398345</v>
      </c>
      <c r="Z15" s="28">
        <v>815279</v>
      </c>
      <c r="AA15" s="28">
        <v>364002</v>
      </c>
      <c r="AB15" s="28">
        <v>311966</v>
      </c>
      <c r="AC15" s="28">
        <v>907475</v>
      </c>
      <c r="AD15" s="28">
        <v>332577</v>
      </c>
      <c r="AE15" s="28">
        <v>84283</v>
      </c>
      <c r="AF15" s="28">
        <v>649822</v>
      </c>
      <c r="AG15" s="28">
        <v>209930</v>
      </c>
      <c r="AH15" s="28">
        <v>344128</v>
      </c>
      <c r="AI15" s="28">
        <v>80929</v>
      </c>
      <c r="AJ15" s="28">
        <v>81619</v>
      </c>
      <c r="AK15" s="28">
        <v>843751</v>
      </c>
      <c r="AL15" s="37">
        <f t="shared" si="3"/>
        <v>0.61820310000000001</v>
      </c>
      <c r="AM15" s="38"/>
      <c r="AN15" s="51"/>
      <c r="AO15" s="38"/>
      <c r="AQ15" s="40"/>
      <c r="AR15" s="40"/>
    </row>
    <row r="16" spans="1:44" ht="29" x14ac:dyDescent="0.35">
      <c r="A16" s="27" t="s">
        <v>37</v>
      </c>
      <c r="B16" s="27" t="s">
        <v>37</v>
      </c>
      <c r="C16" s="35" t="s">
        <v>67</v>
      </c>
      <c r="D16" s="35"/>
      <c r="E16" s="61" t="s">
        <v>114</v>
      </c>
      <c r="F16" s="27"/>
      <c r="G16" s="27"/>
      <c r="H16" s="27"/>
      <c r="I16" s="28">
        <v>20000000</v>
      </c>
      <c r="J16" s="28">
        <f t="shared" si="1"/>
        <v>11198003</v>
      </c>
      <c r="K16" s="36">
        <v>46184</v>
      </c>
      <c r="L16" s="53">
        <v>1166055</v>
      </c>
      <c r="M16" s="53">
        <v>1042383.4789</v>
      </c>
      <c r="N16" s="53">
        <v>0</v>
      </c>
      <c r="O16" s="53">
        <v>0</v>
      </c>
      <c r="P16" s="53">
        <v>100821.9178</v>
      </c>
      <c r="Q16" s="53">
        <v>22849.603300000017</v>
      </c>
      <c r="R16" s="53"/>
      <c r="S16" s="53"/>
      <c r="T16" s="53"/>
      <c r="U16" s="53"/>
      <c r="V16" s="53"/>
      <c r="W16" s="53">
        <f t="shared" si="2"/>
        <v>1166055</v>
      </c>
      <c r="X16" s="53">
        <v>349795</v>
      </c>
      <c r="Y16" s="28">
        <v>796688</v>
      </c>
      <c r="Z16" s="28">
        <v>1630556</v>
      </c>
      <c r="AA16" s="28">
        <v>728007</v>
      </c>
      <c r="AB16" s="28">
        <v>623930</v>
      </c>
      <c r="AC16" s="28">
        <v>1814953</v>
      </c>
      <c r="AD16" s="28">
        <v>665157</v>
      </c>
      <c r="AE16" s="28">
        <v>168559</v>
      </c>
      <c r="AF16" s="28">
        <v>1299644</v>
      </c>
      <c r="AG16" s="28">
        <v>419860</v>
      </c>
      <c r="AH16" s="28">
        <v>688257</v>
      </c>
      <c r="AI16" s="28">
        <v>161858</v>
      </c>
      <c r="AJ16" s="28">
        <v>163237</v>
      </c>
      <c r="AK16" s="28">
        <v>1687502</v>
      </c>
      <c r="AL16" s="37">
        <f t="shared" si="3"/>
        <v>0.6182029</v>
      </c>
      <c r="AM16" s="38"/>
      <c r="AN16" s="51"/>
      <c r="AO16" s="38"/>
      <c r="AQ16" s="40"/>
      <c r="AR16" s="40"/>
    </row>
    <row r="17" spans="1:44" ht="29" x14ac:dyDescent="0.35">
      <c r="A17" s="27" t="s">
        <v>38</v>
      </c>
      <c r="B17" s="27" t="s">
        <v>38</v>
      </c>
      <c r="C17" s="35" t="s">
        <v>67</v>
      </c>
      <c r="D17" s="35"/>
      <c r="E17" s="61" t="s">
        <v>114</v>
      </c>
      <c r="F17" s="27"/>
      <c r="G17" s="27"/>
      <c r="H17" s="27"/>
      <c r="I17" s="28">
        <v>20000000</v>
      </c>
      <c r="J17" s="28">
        <f t="shared" si="1"/>
        <v>11198003</v>
      </c>
      <c r="K17" s="36">
        <v>46184</v>
      </c>
      <c r="L17" s="53">
        <v>1166055</v>
      </c>
      <c r="M17" s="53">
        <v>1042383.4789</v>
      </c>
      <c r="N17" s="53">
        <v>0</v>
      </c>
      <c r="O17" s="53">
        <v>0</v>
      </c>
      <c r="P17" s="53">
        <v>100821.9178</v>
      </c>
      <c r="Q17" s="53">
        <v>22849.603300000017</v>
      </c>
      <c r="R17" s="53"/>
      <c r="S17" s="53"/>
      <c r="T17" s="53"/>
      <c r="U17" s="53"/>
      <c r="V17" s="53"/>
      <c r="W17" s="53">
        <f t="shared" si="2"/>
        <v>1166055</v>
      </c>
      <c r="X17" s="53">
        <v>349795</v>
      </c>
      <c r="Y17" s="28">
        <v>796688</v>
      </c>
      <c r="Z17" s="28">
        <v>1630556</v>
      </c>
      <c r="AA17" s="28">
        <v>728007</v>
      </c>
      <c r="AB17" s="28">
        <v>623930</v>
      </c>
      <c r="AC17" s="28">
        <v>1814953</v>
      </c>
      <c r="AD17" s="28">
        <v>665157</v>
      </c>
      <c r="AE17" s="28">
        <v>168559</v>
      </c>
      <c r="AF17" s="28">
        <v>1299644</v>
      </c>
      <c r="AG17" s="28">
        <v>419860</v>
      </c>
      <c r="AH17" s="28">
        <v>688257</v>
      </c>
      <c r="AI17" s="28">
        <v>161858</v>
      </c>
      <c r="AJ17" s="28">
        <v>163237</v>
      </c>
      <c r="AK17" s="28">
        <v>1687502</v>
      </c>
      <c r="AL17" s="37">
        <f t="shared" si="3"/>
        <v>0.6182029</v>
      </c>
      <c r="AM17" s="38"/>
      <c r="AN17" s="51"/>
      <c r="AO17" s="38"/>
      <c r="AQ17" s="40"/>
      <c r="AR17" s="40"/>
    </row>
    <row r="18" spans="1:44" ht="29" x14ac:dyDescent="0.35">
      <c r="A18" s="27" t="s">
        <v>39</v>
      </c>
      <c r="B18" s="27" t="s">
        <v>39</v>
      </c>
      <c r="C18" s="35" t="s">
        <v>67</v>
      </c>
      <c r="D18" s="35"/>
      <c r="E18" s="61" t="s">
        <v>114</v>
      </c>
      <c r="F18" s="27"/>
      <c r="G18" s="27"/>
      <c r="H18" s="27"/>
      <c r="I18" s="28">
        <v>30000000</v>
      </c>
      <c r="J18" s="28">
        <f t="shared" si="1"/>
        <v>16797010</v>
      </c>
      <c r="K18" s="36">
        <v>46184</v>
      </c>
      <c r="L18" s="53">
        <v>1749083</v>
      </c>
      <c r="M18" s="53">
        <v>1563575.2183999999</v>
      </c>
      <c r="N18" s="53">
        <v>0</v>
      </c>
      <c r="O18" s="53">
        <v>0</v>
      </c>
      <c r="P18" s="53">
        <v>151232.87669999999</v>
      </c>
      <c r="Q18" s="53">
        <v>34274.904900000111</v>
      </c>
      <c r="R18" s="53"/>
      <c r="S18" s="53"/>
      <c r="T18" s="53"/>
      <c r="U18" s="53"/>
      <c r="V18" s="53"/>
      <c r="W18" s="53">
        <f t="shared" si="2"/>
        <v>1749083</v>
      </c>
      <c r="X18" s="53">
        <v>524692</v>
      </c>
      <c r="Y18" s="28">
        <v>1195033</v>
      </c>
      <c r="Z18" s="28">
        <v>2445836</v>
      </c>
      <c r="AA18" s="28">
        <v>1092015</v>
      </c>
      <c r="AB18" s="28">
        <v>935896</v>
      </c>
      <c r="AC18" s="28">
        <v>2722429</v>
      </c>
      <c r="AD18" s="28">
        <v>997732</v>
      </c>
      <c r="AE18" s="28">
        <v>252839</v>
      </c>
      <c r="AF18" s="28">
        <v>1949468</v>
      </c>
      <c r="AG18" s="28">
        <v>629790</v>
      </c>
      <c r="AH18" s="28">
        <v>1032385</v>
      </c>
      <c r="AI18" s="28">
        <v>242786</v>
      </c>
      <c r="AJ18" s="28">
        <v>244856</v>
      </c>
      <c r="AK18" s="28">
        <v>2531253</v>
      </c>
      <c r="AL18" s="37">
        <f t="shared" si="3"/>
        <v>0.61820310000000001</v>
      </c>
      <c r="AM18" s="38"/>
      <c r="AN18" s="51"/>
      <c r="AO18" s="38"/>
      <c r="AQ18" s="40"/>
      <c r="AR18" s="40"/>
    </row>
    <row r="19" spans="1:44" ht="29" x14ac:dyDescent="0.35">
      <c r="A19" s="27" t="s">
        <v>40</v>
      </c>
      <c r="B19" s="27" t="s">
        <v>40</v>
      </c>
      <c r="C19" s="35" t="s">
        <v>67</v>
      </c>
      <c r="D19" s="35"/>
      <c r="E19" s="61" t="s">
        <v>114</v>
      </c>
      <c r="F19" s="27"/>
      <c r="G19" s="27"/>
      <c r="H19" s="27"/>
      <c r="I19" s="29">
        <v>10000000</v>
      </c>
      <c r="J19" s="28">
        <f t="shared" si="1"/>
        <v>5599003</v>
      </c>
      <c r="K19" s="36">
        <v>46184</v>
      </c>
      <c r="L19" s="53">
        <v>583028</v>
      </c>
      <c r="M19" s="53">
        <v>521191.73950000003</v>
      </c>
      <c r="N19" s="53">
        <v>0</v>
      </c>
      <c r="O19" s="53">
        <v>0</v>
      </c>
      <c r="P19" s="53">
        <v>50410.958899999998</v>
      </c>
      <c r="Q19" s="53">
        <v>11425.301599999977</v>
      </c>
      <c r="R19" s="53"/>
      <c r="S19" s="53"/>
      <c r="T19" s="53"/>
      <c r="U19" s="53"/>
      <c r="V19" s="53"/>
      <c r="W19" s="53">
        <f t="shared" si="2"/>
        <v>583028</v>
      </c>
      <c r="X19" s="53">
        <v>174897</v>
      </c>
      <c r="Y19" s="28">
        <v>398345</v>
      </c>
      <c r="Z19" s="28">
        <v>815279</v>
      </c>
      <c r="AA19" s="28">
        <v>364002</v>
      </c>
      <c r="AB19" s="28">
        <v>311966</v>
      </c>
      <c r="AC19" s="28">
        <v>907475</v>
      </c>
      <c r="AD19" s="28">
        <v>332577</v>
      </c>
      <c r="AE19" s="28">
        <v>84283</v>
      </c>
      <c r="AF19" s="28">
        <v>649822</v>
      </c>
      <c r="AG19" s="28">
        <v>209930</v>
      </c>
      <c r="AH19" s="28">
        <v>344128</v>
      </c>
      <c r="AI19" s="28">
        <v>80929</v>
      </c>
      <c r="AJ19" s="28">
        <v>81619</v>
      </c>
      <c r="AK19" s="28">
        <v>843751</v>
      </c>
      <c r="AL19" s="37">
        <f t="shared" si="3"/>
        <v>0.61820310000000001</v>
      </c>
      <c r="AM19" s="38"/>
      <c r="AN19" s="51"/>
      <c r="AO19" s="38"/>
      <c r="AQ19" s="40"/>
      <c r="AR19" s="40"/>
    </row>
    <row r="20" spans="1:44" ht="29" x14ac:dyDescent="0.35">
      <c r="A20" s="27" t="s">
        <v>41</v>
      </c>
      <c r="B20" s="27" t="s">
        <v>41</v>
      </c>
      <c r="C20" s="35" t="s">
        <v>67</v>
      </c>
      <c r="D20" s="35"/>
      <c r="E20" s="61" t="s">
        <v>114</v>
      </c>
      <c r="F20" s="27"/>
      <c r="G20" s="27"/>
      <c r="H20" s="27"/>
      <c r="I20" s="29">
        <v>10000000</v>
      </c>
      <c r="J20" s="28">
        <f t="shared" si="1"/>
        <v>5599003</v>
      </c>
      <c r="K20" s="36">
        <v>46184</v>
      </c>
      <c r="L20" s="53">
        <v>583028</v>
      </c>
      <c r="M20" s="53">
        <v>521191.73950000003</v>
      </c>
      <c r="N20" s="53">
        <v>0</v>
      </c>
      <c r="O20" s="53">
        <v>0</v>
      </c>
      <c r="P20" s="53">
        <v>50410.958899999998</v>
      </c>
      <c r="Q20" s="53">
        <v>11425.301599999977</v>
      </c>
      <c r="R20" s="53"/>
      <c r="S20" s="53"/>
      <c r="T20" s="53"/>
      <c r="U20" s="53"/>
      <c r="V20" s="53"/>
      <c r="W20" s="53">
        <f t="shared" si="2"/>
        <v>583028</v>
      </c>
      <c r="X20" s="53">
        <v>174897</v>
      </c>
      <c r="Y20" s="28">
        <v>398345</v>
      </c>
      <c r="Z20" s="28">
        <v>815279</v>
      </c>
      <c r="AA20" s="28">
        <v>364002</v>
      </c>
      <c r="AB20" s="28">
        <v>311966</v>
      </c>
      <c r="AC20" s="28">
        <v>907475</v>
      </c>
      <c r="AD20" s="28">
        <v>332577</v>
      </c>
      <c r="AE20" s="28">
        <v>84283</v>
      </c>
      <c r="AF20" s="28">
        <v>649822</v>
      </c>
      <c r="AG20" s="28">
        <v>209930</v>
      </c>
      <c r="AH20" s="28">
        <v>344128</v>
      </c>
      <c r="AI20" s="28">
        <v>80929</v>
      </c>
      <c r="AJ20" s="28">
        <v>81619</v>
      </c>
      <c r="AK20" s="28">
        <v>843751</v>
      </c>
      <c r="AL20" s="37">
        <f t="shared" si="3"/>
        <v>0.61820310000000001</v>
      </c>
      <c r="AM20" s="38"/>
      <c r="AN20" s="51"/>
      <c r="AO20" s="38"/>
      <c r="AQ20" s="40"/>
      <c r="AR20" s="40"/>
    </row>
    <row r="21" spans="1:44" ht="29" x14ac:dyDescent="0.35">
      <c r="A21" s="27" t="s">
        <v>42</v>
      </c>
      <c r="B21" s="27" t="s">
        <v>42</v>
      </c>
      <c r="C21" s="35" t="s">
        <v>67</v>
      </c>
      <c r="D21" s="35"/>
      <c r="E21" s="61" t="s">
        <v>114</v>
      </c>
      <c r="F21" s="27"/>
      <c r="G21" s="27"/>
      <c r="H21" s="27"/>
      <c r="I21" s="29">
        <v>30000000</v>
      </c>
      <c r="J21" s="28">
        <f t="shared" si="1"/>
        <v>16797010</v>
      </c>
      <c r="K21" s="36">
        <v>46184</v>
      </c>
      <c r="L21" s="53">
        <v>1749083</v>
      </c>
      <c r="M21" s="53">
        <v>1563575.2183999999</v>
      </c>
      <c r="N21" s="53">
        <v>0</v>
      </c>
      <c r="O21" s="53">
        <v>0</v>
      </c>
      <c r="P21" s="53">
        <v>151232.87669999999</v>
      </c>
      <c r="Q21" s="53">
        <v>34274.904900000111</v>
      </c>
      <c r="R21" s="53"/>
      <c r="S21" s="53"/>
      <c r="T21" s="53"/>
      <c r="U21" s="53"/>
      <c r="V21" s="53"/>
      <c r="W21" s="53">
        <f t="shared" si="2"/>
        <v>1749083</v>
      </c>
      <c r="X21" s="53">
        <v>524692</v>
      </c>
      <c r="Y21" s="28">
        <v>1195033</v>
      </c>
      <c r="Z21" s="28">
        <v>2445836</v>
      </c>
      <c r="AA21" s="28">
        <v>1092015</v>
      </c>
      <c r="AB21" s="28">
        <v>935896</v>
      </c>
      <c r="AC21" s="28">
        <v>2722429</v>
      </c>
      <c r="AD21" s="28">
        <v>997732</v>
      </c>
      <c r="AE21" s="28">
        <v>252839</v>
      </c>
      <c r="AF21" s="28">
        <v>1949468</v>
      </c>
      <c r="AG21" s="28">
        <v>629790</v>
      </c>
      <c r="AH21" s="28">
        <v>1032385</v>
      </c>
      <c r="AI21" s="28">
        <v>242786</v>
      </c>
      <c r="AJ21" s="28">
        <v>244856</v>
      </c>
      <c r="AK21" s="28">
        <v>2531253</v>
      </c>
      <c r="AL21" s="37">
        <f t="shared" si="3"/>
        <v>0.61820310000000001</v>
      </c>
      <c r="AM21" s="38"/>
      <c r="AN21" s="51"/>
      <c r="AO21" s="38"/>
      <c r="AQ21" s="40"/>
      <c r="AR21" s="40"/>
    </row>
    <row r="22" spans="1:44" ht="29" x14ac:dyDescent="0.35">
      <c r="A22" s="27" t="s">
        <v>43</v>
      </c>
      <c r="B22" s="27" t="s">
        <v>43</v>
      </c>
      <c r="C22" s="35" t="s">
        <v>67</v>
      </c>
      <c r="D22" s="35"/>
      <c r="E22" s="61" t="s">
        <v>114</v>
      </c>
      <c r="F22" s="27"/>
      <c r="G22" s="27"/>
      <c r="H22" s="27"/>
      <c r="I22" s="29">
        <v>100000000</v>
      </c>
      <c r="J22" s="28">
        <f t="shared" si="1"/>
        <v>55990022</v>
      </c>
      <c r="K22" s="36">
        <v>46184</v>
      </c>
      <c r="L22" s="53">
        <v>5830278</v>
      </c>
      <c r="M22" s="53">
        <v>5211917.3946000002</v>
      </c>
      <c r="N22" s="53">
        <v>0</v>
      </c>
      <c r="O22" s="53">
        <v>0</v>
      </c>
      <c r="P22" s="53">
        <v>504109.58899999998</v>
      </c>
      <c r="Q22" s="53">
        <v>114251.01639999979</v>
      </c>
      <c r="R22" s="53"/>
      <c r="S22" s="53"/>
      <c r="T22" s="53"/>
      <c r="U22" s="53"/>
      <c r="V22" s="53"/>
      <c r="W22" s="53">
        <f t="shared" si="2"/>
        <v>5830278</v>
      </c>
      <c r="X22" s="53">
        <v>1748974</v>
      </c>
      <c r="Y22" s="28">
        <v>3983442</v>
      </c>
      <c r="Z22" s="28">
        <v>8152784</v>
      </c>
      <c r="AA22" s="28">
        <v>3640043</v>
      </c>
      <c r="AB22" s="28">
        <v>3119652</v>
      </c>
      <c r="AC22" s="28">
        <v>9074762</v>
      </c>
      <c r="AD22" s="28">
        <v>3325773</v>
      </c>
      <c r="AE22" s="28">
        <v>842800</v>
      </c>
      <c r="AF22" s="28">
        <v>6498223</v>
      </c>
      <c r="AG22" s="28">
        <v>2099300</v>
      </c>
      <c r="AH22" s="28">
        <v>3441284</v>
      </c>
      <c r="AI22" s="28">
        <v>809288</v>
      </c>
      <c r="AJ22" s="28">
        <v>816187</v>
      </c>
      <c r="AK22" s="28">
        <v>8437510</v>
      </c>
      <c r="AL22" s="37">
        <f t="shared" si="3"/>
        <v>0.61820299999999995</v>
      </c>
      <c r="AM22" s="38"/>
      <c r="AN22" s="51"/>
      <c r="AO22" s="38"/>
      <c r="AQ22" s="40"/>
      <c r="AR22" s="40"/>
    </row>
    <row r="23" spans="1:44" ht="29" x14ac:dyDescent="0.35">
      <c r="A23" s="27" t="s">
        <v>44</v>
      </c>
      <c r="B23" s="27" t="s">
        <v>44</v>
      </c>
      <c r="C23" s="35" t="s">
        <v>67</v>
      </c>
      <c r="D23" s="35"/>
      <c r="E23" s="61" t="s">
        <v>114</v>
      </c>
      <c r="F23" s="27"/>
      <c r="G23" s="27"/>
      <c r="H23" s="27"/>
      <c r="I23" s="29">
        <v>10000000</v>
      </c>
      <c r="J23" s="28">
        <f t="shared" si="1"/>
        <v>5599003</v>
      </c>
      <c r="K23" s="36">
        <v>46184</v>
      </c>
      <c r="L23" s="53">
        <v>583028</v>
      </c>
      <c r="M23" s="53">
        <v>521191.73950000003</v>
      </c>
      <c r="N23" s="53">
        <v>0</v>
      </c>
      <c r="O23" s="53">
        <v>0</v>
      </c>
      <c r="P23" s="53">
        <v>50410.958899999998</v>
      </c>
      <c r="Q23" s="53">
        <v>11425.301599999977</v>
      </c>
      <c r="R23" s="53"/>
      <c r="S23" s="53"/>
      <c r="T23" s="53"/>
      <c r="U23" s="53"/>
      <c r="V23" s="53"/>
      <c r="W23" s="53">
        <f t="shared" si="2"/>
        <v>583028</v>
      </c>
      <c r="X23" s="53">
        <v>174897</v>
      </c>
      <c r="Y23" s="28">
        <v>398345</v>
      </c>
      <c r="Z23" s="28">
        <v>815279</v>
      </c>
      <c r="AA23" s="28">
        <v>364002</v>
      </c>
      <c r="AB23" s="28">
        <v>311966</v>
      </c>
      <c r="AC23" s="28">
        <v>907475</v>
      </c>
      <c r="AD23" s="28">
        <v>332577</v>
      </c>
      <c r="AE23" s="28">
        <v>84283</v>
      </c>
      <c r="AF23" s="28">
        <v>649822</v>
      </c>
      <c r="AG23" s="28">
        <v>209930</v>
      </c>
      <c r="AH23" s="28">
        <v>344128</v>
      </c>
      <c r="AI23" s="28">
        <v>80929</v>
      </c>
      <c r="AJ23" s="28">
        <v>81619</v>
      </c>
      <c r="AK23" s="28">
        <v>843751</v>
      </c>
      <c r="AL23" s="37">
        <f t="shared" si="3"/>
        <v>0.61820310000000001</v>
      </c>
      <c r="AM23" s="38"/>
      <c r="AN23" s="51"/>
      <c r="AO23" s="38"/>
      <c r="AQ23" s="40"/>
      <c r="AR23" s="40"/>
    </row>
    <row r="24" spans="1:44" ht="29" x14ac:dyDescent="0.35">
      <c r="A24" s="27" t="s">
        <v>45</v>
      </c>
      <c r="B24" s="27" t="s">
        <v>45</v>
      </c>
      <c r="C24" s="35" t="s">
        <v>67</v>
      </c>
      <c r="D24" s="35"/>
      <c r="E24" s="61" t="s">
        <v>114</v>
      </c>
      <c r="F24" s="27"/>
      <c r="G24" s="27"/>
      <c r="H24" s="27"/>
      <c r="I24" s="29">
        <v>10000000</v>
      </c>
      <c r="J24" s="28">
        <f t="shared" si="1"/>
        <v>5599003</v>
      </c>
      <c r="K24" s="36">
        <v>46184</v>
      </c>
      <c r="L24" s="53">
        <v>583028</v>
      </c>
      <c r="M24" s="53">
        <v>521191.73950000003</v>
      </c>
      <c r="N24" s="53">
        <v>0</v>
      </c>
      <c r="O24" s="53">
        <v>0</v>
      </c>
      <c r="P24" s="53">
        <v>50410.958899999998</v>
      </c>
      <c r="Q24" s="53">
        <v>11425.301599999977</v>
      </c>
      <c r="R24" s="53"/>
      <c r="S24" s="53"/>
      <c r="T24" s="53"/>
      <c r="U24" s="53"/>
      <c r="V24" s="53"/>
      <c r="W24" s="53">
        <f t="shared" si="2"/>
        <v>583028</v>
      </c>
      <c r="X24" s="53">
        <v>174897</v>
      </c>
      <c r="Y24" s="28">
        <v>398345</v>
      </c>
      <c r="Z24" s="28">
        <v>815279</v>
      </c>
      <c r="AA24" s="28">
        <v>364002</v>
      </c>
      <c r="AB24" s="28">
        <v>311966</v>
      </c>
      <c r="AC24" s="28">
        <v>907475</v>
      </c>
      <c r="AD24" s="28">
        <v>332577</v>
      </c>
      <c r="AE24" s="28">
        <v>84283</v>
      </c>
      <c r="AF24" s="28">
        <v>649822</v>
      </c>
      <c r="AG24" s="28">
        <v>209930</v>
      </c>
      <c r="AH24" s="28">
        <v>344128</v>
      </c>
      <c r="AI24" s="28">
        <v>80929</v>
      </c>
      <c r="AJ24" s="28">
        <v>81619</v>
      </c>
      <c r="AK24" s="28">
        <v>843751</v>
      </c>
      <c r="AL24" s="37">
        <f t="shared" si="3"/>
        <v>0.61820310000000001</v>
      </c>
      <c r="AM24" s="38"/>
      <c r="AN24" s="51"/>
      <c r="AO24" s="38"/>
      <c r="AQ24" s="40"/>
      <c r="AR24" s="40"/>
    </row>
    <row r="25" spans="1:44" ht="29" x14ac:dyDescent="0.35">
      <c r="A25" s="27" t="s">
        <v>46</v>
      </c>
      <c r="B25" s="27" t="s">
        <v>46</v>
      </c>
      <c r="C25" s="35" t="s">
        <v>67</v>
      </c>
      <c r="D25" s="35"/>
      <c r="E25" s="61" t="s">
        <v>114</v>
      </c>
      <c r="F25" s="27"/>
      <c r="G25" s="27"/>
      <c r="H25" s="27"/>
      <c r="I25" s="29">
        <v>10000000</v>
      </c>
      <c r="J25" s="28">
        <f t="shared" si="1"/>
        <v>5599003</v>
      </c>
      <c r="K25" s="36">
        <v>46184</v>
      </c>
      <c r="L25" s="53">
        <v>583028</v>
      </c>
      <c r="M25" s="53">
        <v>521191.73950000003</v>
      </c>
      <c r="N25" s="53">
        <v>0</v>
      </c>
      <c r="O25" s="53">
        <v>0</v>
      </c>
      <c r="P25" s="53">
        <v>50410.958899999998</v>
      </c>
      <c r="Q25" s="53">
        <v>11425.301599999977</v>
      </c>
      <c r="R25" s="53"/>
      <c r="S25" s="53"/>
      <c r="T25" s="53"/>
      <c r="U25" s="53"/>
      <c r="V25" s="53"/>
      <c r="W25" s="53">
        <f t="shared" si="2"/>
        <v>583028</v>
      </c>
      <c r="X25" s="53">
        <v>174897</v>
      </c>
      <c r="Y25" s="28">
        <v>398345</v>
      </c>
      <c r="Z25" s="28">
        <v>815279</v>
      </c>
      <c r="AA25" s="28">
        <v>364002</v>
      </c>
      <c r="AB25" s="28">
        <v>311966</v>
      </c>
      <c r="AC25" s="28">
        <v>907475</v>
      </c>
      <c r="AD25" s="28">
        <v>332577</v>
      </c>
      <c r="AE25" s="28">
        <v>84283</v>
      </c>
      <c r="AF25" s="28">
        <v>649822</v>
      </c>
      <c r="AG25" s="28">
        <v>209930</v>
      </c>
      <c r="AH25" s="28">
        <v>344128</v>
      </c>
      <c r="AI25" s="28">
        <v>80929</v>
      </c>
      <c r="AJ25" s="28">
        <v>81619</v>
      </c>
      <c r="AK25" s="28">
        <v>843751</v>
      </c>
      <c r="AL25" s="37">
        <f t="shared" si="3"/>
        <v>0.61820310000000001</v>
      </c>
      <c r="AM25" s="38"/>
      <c r="AN25" s="51"/>
      <c r="AO25" s="38"/>
      <c r="AQ25" s="40"/>
      <c r="AR25" s="40"/>
    </row>
    <row r="26" spans="1:44" ht="29" x14ac:dyDescent="0.35">
      <c r="A26" s="27" t="s">
        <v>47</v>
      </c>
      <c r="B26" s="27" t="s">
        <v>47</v>
      </c>
      <c r="C26" s="35" t="s">
        <v>67</v>
      </c>
      <c r="D26" s="35"/>
      <c r="E26" s="61" t="s">
        <v>114</v>
      </c>
      <c r="F26" s="27"/>
      <c r="G26" s="27"/>
      <c r="H26" s="27"/>
      <c r="I26" s="29">
        <v>25000000</v>
      </c>
      <c r="J26" s="28">
        <f t="shared" si="1"/>
        <v>13997506</v>
      </c>
      <c r="K26" s="36">
        <v>46184</v>
      </c>
      <c r="L26" s="53">
        <v>1457569</v>
      </c>
      <c r="M26" s="53">
        <v>1302979.3485999999</v>
      </c>
      <c r="N26" s="53">
        <v>0</v>
      </c>
      <c r="O26" s="53">
        <v>0</v>
      </c>
      <c r="P26" s="53">
        <v>126027.3973</v>
      </c>
      <c r="Q26" s="53">
        <v>28562.254100000093</v>
      </c>
      <c r="R26" s="53"/>
      <c r="S26" s="53"/>
      <c r="T26" s="53"/>
      <c r="U26" s="53"/>
      <c r="V26" s="53"/>
      <c r="W26" s="53">
        <f t="shared" si="2"/>
        <v>1457569</v>
      </c>
      <c r="X26" s="53">
        <v>437244</v>
      </c>
      <c r="Y26" s="28">
        <v>995860</v>
      </c>
      <c r="Z26" s="28">
        <v>2038196</v>
      </c>
      <c r="AA26" s="28">
        <v>910012</v>
      </c>
      <c r="AB26" s="28">
        <v>779913</v>
      </c>
      <c r="AC26" s="28">
        <v>2268689</v>
      </c>
      <c r="AD26" s="28">
        <v>831442</v>
      </c>
      <c r="AE26" s="28">
        <v>210702</v>
      </c>
      <c r="AF26" s="28">
        <v>1624556</v>
      </c>
      <c r="AG26" s="28">
        <v>524825</v>
      </c>
      <c r="AH26" s="28">
        <v>860321</v>
      </c>
      <c r="AI26" s="28">
        <v>202322</v>
      </c>
      <c r="AJ26" s="28">
        <v>204047</v>
      </c>
      <c r="AK26" s="28">
        <v>2109377</v>
      </c>
      <c r="AL26" s="37">
        <f t="shared" si="3"/>
        <v>0.61820299999999995</v>
      </c>
      <c r="AM26" s="38"/>
      <c r="AN26" s="51"/>
      <c r="AO26" s="38"/>
      <c r="AQ26" s="40"/>
      <c r="AR26" s="40"/>
    </row>
    <row r="27" spans="1:44" ht="29" x14ac:dyDescent="0.35">
      <c r="A27" s="27" t="s">
        <v>48</v>
      </c>
      <c r="B27" s="27" t="s">
        <v>48</v>
      </c>
      <c r="C27" s="35" t="s">
        <v>67</v>
      </c>
      <c r="D27" s="35"/>
      <c r="E27" s="61" t="s">
        <v>114</v>
      </c>
      <c r="F27" s="27"/>
      <c r="G27" s="27"/>
      <c r="H27" s="27"/>
      <c r="I27" s="29">
        <v>25000000</v>
      </c>
      <c r="J27" s="28">
        <f t="shared" si="1"/>
        <v>13997506</v>
      </c>
      <c r="K27" s="36">
        <v>46184</v>
      </c>
      <c r="L27" s="53">
        <v>1457569</v>
      </c>
      <c r="M27" s="53">
        <v>1302979.3485999999</v>
      </c>
      <c r="N27" s="53">
        <v>0</v>
      </c>
      <c r="O27" s="53">
        <v>0</v>
      </c>
      <c r="P27" s="53">
        <v>126027.3973</v>
      </c>
      <c r="Q27" s="53">
        <v>28562.254100000093</v>
      </c>
      <c r="R27" s="53"/>
      <c r="S27" s="53"/>
      <c r="T27" s="53"/>
      <c r="U27" s="53"/>
      <c r="V27" s="53"/>
      <c r="W27" s="53">
        <f t="shared" si="2"/>
        <v>1457569</v>
      </c>
      <c r="X27" s="53">
        <v>437244</v>
      </c>
      <c r="Y27" s="28">
        <v>995860</v>
      </c>
      <c r="Z27" s="28">
        <v>2038196</v>
      </c>
      <c r="AA27" s="28">
        <v>910012</v>
      </c>
      <c r="AB27" s="28">
        <v>779913</v>
      </c>
      <c r="AC27" s="28">
        <v>2268689</v>
      </c>
      <c r="AD27" s="28">
        <v>831442</v>
      </c>
      <c r="AE27" s="28">
        <v>210702</v>
      </c>
      <c r="AF27" s="28">
        <v>1624556</v>
      </c>
      <c r="AG27" s="28">
        <v>524825</v>
      </c>
      <c r="AH27" s="28">
        <v>860321</v>
      </c>
      <c r="AI27" s="28">
        <v>202322</v>
      </c>
      <c r="AJ27" s="28">
        <v>204047</v>
      </c>
      <c r="AK27" s="28">
        <v>2109377</v>
      </c>
      <c r="AL27" s="37">
        <f t="shared" si="3"/>
        <v>0.61820299999999995</v>
      </c>
      <c r="AM27" s="38"/>
      <c r="AN27" s="51"/>
      <c r="AO27" s="38"/>
      <c r="AQ27" s="40"/>
      <c r="AR27" s="40"/>
    </row>
    <row r="28" spans="1:44" ht="29" x14ac:dyDescent="0.35">
      <c r="A28" s="27" t="s">
        <v>49</v>
      </c>
      <c r="B28" s="27" t="s">
        <v>49</v>
      </c>
      <c r="C28" s="35" t="s">
        <v>67</v>
      </c>
      <c r="D28" s="35"/>
      <c r="E28" s="61" t="s">
        <v>114</v>
      </c>
      <c r="F28" s="27"/>
      <c r="G28" s="27"/>
      <c r="H28" s="27"/>
      <c r="I28" s="29">
        <v>10000000</v>
      </c>
      <c r="J28" s="28">
        <f t="shared" si="1"/>
        <v>5599003</v>
      </c>
      <c r="K28" s="36">
        <v>46184</v>
      </c>
      <c r="L28" s="53">
        <v>583028</v>
      </c>
      <c r="M28" s="53">
        <v>521191.73950000003</v>
      </c>
      <c r="N28" s="53">
        <v>0</v>
      </c>
      <c r="O28" s="53">
        <v>0</v>
      </c>
      <c r="P28" s="53">
        <v>50410.958899999998</v>
      </c>
      <c r="Q28" s="53">
        <v>11425.301599999977</v>
      </c>
      <c r="R28" s="53"/>
      <c r="S28" s="53"/>
      <c r="T28" s="53"/>
      <c r="U28" s="53"/>
      <c r="V28" s="53"/>
      <c r="W28" s="53">
        <f t="shared" si="2"/>
        <v>583028</v>
      </c>
      <c r="X28" s="53">
        <v>174897</v>
      </c>
      <c r="Y28" s="28">
        <v>398345</v>
      </c>
      <c r="Z28" s="28">
        <v>815279</v>
      </c>
      <c r="AA28" s="28">
        <v>364002</v>
      </c>
      <c r="AB28" s="28">
        <v>311966</v>
      </c>
      <c r="AC28" s="28">
        <v>907475</v>
      </c>
      <c r="AD28" s="28">
        <v>332577</v>
      </c>
      <c r="AE28" s="28">
        <v>84283</v>
      </c>
      <c r="AF28" s="28">
        <v>649822</v>
      </c>
      <c r="AG28" s="28">
        <v>209930</v>
      </c>
      <c r="AH28" s="28">
        <v>344128</v>
      </c>
      <c r="AI28" s="28">
        <v>80929</v>
      </c>
      <c r="AJ28" s="28">
        <v>81619</v>
      </c>
      <c r="AK28" s="28">
        <v>843751</v>
      </c>
      <c r="AL28" s="37">
        <f t="shared" si="3"/>
        <v>0.61820310000000001</v>
      </c>
      <c r="AM28" s="38"/>
      <c r="AN28" s="51"/>
      <c r="AO28" s="38"/>
      <c r="AQ28" s="40"/>
      <c r="AR28" s="40"/>
    </row>
    <row r="29" spans="1:44" ht="29" x14ac:dyDescent="0.35">
      <c r="A29" s="27" t="s">
        <v>50</v>
      </c>
      <c r="B29" s="27" t="s">
        <v>50</v>
      </c>
      <c r="C29" s="35" t="s">
        <v>67</v>
      </c>
      <c r="D29" s="35"/>
      <c r="E29" s="61" t="s">
        <v>114</v>
      </c>
      <c r="F29" s="27"/>
      <c r="G29" s="27"/>
      <c r="H29" s="27"/>
      <c r="I29" s="29">
        <v>10000000</v>
      </c>
      <c r="J29" s="28">
        <f t="shared" si="1"/>
        <v>5599003</v>
      </c>
      <c r="K29" s="36">
        <v>46184</v>
      </c>
      <c r="L29" s="53">
        <v>583028</v>
      </c>
      <c r="M29" s="53">
        <v>521191.73950000003</v>
      </c>
      <c r="N29" s="53">
        <v>0</v>
      </c>
      <c r="O29" s="53">
        <v>0</v>
      </c>
      <c r="P29" s="53">
        <v>50410.958899999998</v>
      </c>
      <c r="Q29" s="53">
        <v>11425.301599999977</v>
      </c>
      <c r="R29" s="53"/>
      <c r="S29" s="53"/>
      <c r="T29" s="53"/>
      <c r="U29" s="53"/>
      <c r="V29" s="53"/>
      <c r="W29" s="53">
        <f t="shared" si="2"/>
        <v>583028</v>
      </c>
      <c r="X29" s="53">
        <v>174897</v>
      </c>
      <c r="Y29" s="28">
        <v>398345</v>
      </c>
      <c r="Z29" s="28">
        <v>815279</v>
      </c>
      <c r="AA29" s="28">
        <v>364002</v>
      </c>
      <c r="AB29" s="28">
        <v>311966</v>
      </c>
      <c r="AC29" s="28">
        <v>907475</v>
      </c>
      <c r="AD29" s="28">
        <v>332577</v>
      </c>
      <c r="AE29" s="28">
        <v>84283</v>
      </c>
      <c r="AF29" s="28">
        <v>649822</v>
      </c>
      <c r="AG29" s="28">
        <v>209930</v>
      </c>
      <c r="AH29" s="28">
        <v>344128</v>
      </c>
      <c r="AI29" s="28">
        <v>80929</v>
      </c>
      <c r="AJ29" s="28">
        <v>81619</v>
      </c>
      <c r="AK29" s="28">
        <v>843751</v>
      </c>
      <c r="AL29" s="37">
        <f t="shared" si="3"/>
        <v>0.61820310000000001</v>
      </c>
      <c r="AM29" s="38"/>
      <c r="AN29" s="51"/>
      <c r="AO29" s="38"/>
      <c r="AQ29" s="40"/>
      <c r="AR29" s="40"/>
    </row>
    <row r="30" spans="1:44" ht="29" x14ac:dyDescent="0.35">
      <c r="A30" s="27" t="s">
        <v>51</v>
      </c>
      <c r="B30" s="27" t="s">
        <v>51</v>
      </c>
      <c r="C30" s="35" t="s">
        <v>67</v>
      </c>
      <c r="D30" s="35"/>
      <c r="E30" s="61" t="s">
        <v>114</v>
      </c>
      <c r="F30" s="27"/>
      <c r="G30" s="27"/>
      <c r="H30" s="27"/>
      <c r="I30" s="29">
        <v>20000000</v>
      </c>
      <c r="J30" s="28">
        <f t="shared" si="1"/>
        <v>11198003</v>
      </c>
      <c r="K30" s="36">
        <v>46184</v>
      </c>
      <c r="L30" s="53">
        <v>1166055</v>
      </c>
      <c r="M30" s="53">
        <v>1042383.4789</v>
      </c>
      <c r="N30" s="53">
        <v>0</v>
      </c>
      <c r="O30" s="53">
        <v>0</v>
      </c>
      <c r="P30" s="53">
        <v>100821.9178</v>
      </c>
      <c r="Q30" s="53">
        <v>22849.603300000017</v>
      </c>
      <c r="R30" s="53"/>
      <c r="S30" s="53"/>
      <c r="T30" s="53"/>
      <c r="U30" s="53"/>
      <c r="V30" s="53"/>
      <c r="W30" s="53">
        <f t="shared" si="2"/>
        <v>1166055</v>
      </c>
      <c r="X30" s="53">
        <v>349795</v>
      </c>
      <c r="Y30" s="28">
        <v>796688</v>
      </c>
      <c r="Z30" s="28">
        <v>1630556</v>
      </c>
      <c r="AA30" s="28">
        <v>728007</v>
      </c>
      <c r="AB30" s="28">
        <v>623930</v>
      </c>
      <c r="AC30" s="28">
        <v>1814953</v>
      </c>
      <c r="AD30" s="28">
        <v>665157</v>
      </c>
      <c r="AE30" s="28">
        <v>168559</v>
      </c>
      <c r="AF30" s="28">
        <v>1299644</v>
      </c>
      <c r="AG30" s="28">
        <v>419860</v>
      </c>
      <c r="AH30" s="28">
        <v>688257</v>
      </c>
      <c r="AI30" s="28">
        <v>161858</v>
      </c>
      <c r="AJ30" s="28">
        <v>163237</v>
      </c>
      <c r="AK30" s="28">
        <v>1687502</v>
      </c>
      <c r="AL30" s="37">
        <f t="shared" si="3"/>
        <v>0.6182029</v>
      </c>
      <c r="AM30" s="38"/>
      <c r="AN30" s="51"/>
      <c r="AO30" s="38"/>
      <c r="AQ30" s="40"/>
      <c r="AR30" s="40"/>
    </row>
    <row r="31" spans="1:44" ht="29" x14ac:dyDescent="0.35">
      <c r="A31" s="27" t="s">
        <v>52</v>
      </c>
      <c r="B31" s="27" t="s">
        <v>52</v>
      </c>
      <c r="C31" s="35" t="s">
        <v>67</v>
      </c>
      <c r="D31" s="35"/>
      <c r="E31" s="61" t="s">
        <v>114</v>
      </c>
      <c r="F31" s="27"/>
      <c r="G31" s="27"/>
      <c r="H31" s="27"/>
      <c r="I31" s="29">
        <v>10000000</v>
      </c>
      <c r="J31" s="28">
        <f t="shared" si="1"/>
        <v>5599003</v>
      </c>
      <c r="K31" s="36">
        <v>46184</v>
      </c>
      <c r="L31" s="53">
        <v>583028</v>
      </c>
      <c r="M31" s="53">
        <v>521191.73950000003</v>
      </c>
      <c r="N31" s="53">
        <v>0</v>
      </c>
      <c r="O31" s="53">
        <v>0</v>
      </c>
      <c r="P31" s="53">
        <v>50410.958899999998</v>
      </c>
      <c r="Q31" s="53">
        <v>11425.301599999977</v>
      </c>
      <c r="R31" s="53"/>
      <c r="S31" s="53"/>
      <c r="T31" s="53"/>
      <c r="U31" s="53"/>
      <c r="V31" s="53"/>
      <c r="W31" s="53">
        <f t="shared" si="2"/>
        <v>583028</v>
      </c>
      <c r="X31" s="53">
        <v>174897</v>
      </c>
      <c r="Y31" s="28">
        <v>398345</v>
      </c>
      <c r="Z31" s="28">
        <v>815279</v>
      </c>
      <c r="AA31" s="28">
        <v>364002</v>
      </c>
      <c r="AB31" s="28">
        <v>311966</v>
      </c>
      <c r="AC31" s="28">
        <v>907475</v>
      </c>
      <c r="AD31" s="28">
        <v>332577</v>
      </c>
      <c r="AE31" s="28">
        <v>84283</v>
      </c>
      <c r="AF31" s="28">
        <v>649822</v>
      </c>
      <c r="AG31" s="28">
        <v>209930</v>
      </c>
      <c r="AH31" s="28">
        <v>344128</v>
      </c>
      <c r="AI31" s="28">
        <v>80929</v>
      </c>
      <c r="AJ31" s="28">
        <v>81619</v>
      </c>
      <c r="AK31" s="28">
        <v>843751</v>
      </c>
      <c r="AL31" s="37">
        <f t="shared" si="3"/>
        <v>0.61820310000000001</v>
      </c>
      <c r="AM31" s="38"/>
      <c r="AN31" s="51"/>
      <c r="AO31" s="38"/>
      <c r="AQ31" s="40"/>
      <c r="AR31" s="40"/>
    </row>
    <row r="32" spans="1:44" ht="29" x14ac:dyDescent="0.35">
      <c r="A32" s="27" t="s">
        <v>53</v>
      </c>
      <c r="B32" s="27" t="s">
        <v>53</v>
      </c>
      <c r="C32" s="35" t="s">
        <v>67</v>
      </c>
      <c r="D32" s="35"/>
      <c r="E32" s="61" t="s">
        <v>114</v>
      </c>
      <c r="F32" s="27"/>
      <c r="G32" s="27"/>
      <c r="H32" s="27"/>
      <c r="I32" s="29">
        <v>10000000</v>
      </c>
      <c r="J32" s="28">
        <f t="shared" si="1"/>
        <v>5599003</v>
      </c>
      <c r="K32" s="36">
        <v>46184</v>
      </c>
      <c r="L32" s="53">
        <v>583028</v>
      </c>
      <c r="M32" s="53">
        <v>521191.73950000003</v>
      </c>
      <c r="N32" s="53">
        <v>0</v>
      </c>
      <c r="O32" s="53">
        <v>0</v>
      </c>
      <c r="P32" s="53">
        <v>50410.958899999998</v>
      </c>
      <c r="Q32" s="53">
        <v>11425.301599999977</v>
      </c>
      <c r="R32" s="53"/>
      <c r="S32" s="53"/>
      <c r="T32" s="53"/>
      <c r="U32" s="53"/>
      <c r="V32" s="53"/>
      <c r="W32" s="53">
        <f t="shared" si="2"/>
        <v>583028</v>
      </c>
      <c r="X32" s="53">
        <v>174897</v>
      </c>
      <c r="Y32" s="28">
        <v>398345</v>
      </c>
      <c r="Z32" s="28">
        <v>815279</v>
      </c>
      <c r="AA32" s="28">
        <v>364002</v>
      </c>
      <c r="AB32" s="28">
        <v>311966</v>
      </c>
      <c r="AC32" s="28">
        <v>907475</v>
      </c>
      <c r="AD32" s="28">
        <v>332577</v>
      </c>
      <c r="AE32" s="28">
        <v>84283</v>
      </c>
      <c r="AF32" s="28">
        <v>649822</v>
      </c>
      <c r="AG32" s="28">
        <v>209930</v>
      </c>
      <c r="AH32" s="28">
        <v>344128</v>
      </c>
      <c r="AI32" s="28">
        <v>80929</v>
      </c>
      <c r="AJ32" s="28">
        <v>81619</v>
      </c>
      <c r="AK32" s="28">
        <v>843751</v>
      </c>
      <c r="AL32" s="37">
        <f t="shared" si="3"/>
        <v>0.61820310000000001</v>
      </c>
      <c r="AM32" s="38"/>
      <c r="AN32" s="51"/>
      <c r="AO32" s="38"/>
      <c r="AQ32" s="40"/>
      <c r="AR32" s="40"/>
    </row>
    <row r="33" spans="1:44" ht="29" x14ac:dyDescent="0.35">
      <c r="A33" s="27" t="s">
        <v>54</v>
      </c>
      <c r="B33" s="27" t="s">
        <v>54</v>
      </c>
      <c r="C33" s="35" t="s">
        <v>67</v>
      </c>
      <c r="D33" s="35"/>
      <c r="E33" s="61" t="s">
        <v>114</v>
      </c>
      <c r="F33" s="27"/>
      <c r="G33" s="27"/>
      <c r="H33" s="27"/>
      <c r="I33" s="29">
        <v>10000000</v>
      </c>
      <c r="J33" s="28">
        <f t="shared" si="1"/>
        <v>5599003</v>
      </c>
      <c r="K33" s="36">
        <v>46184</v>
      </c>
      <c r="L33" s="53">
        <v>583028</v>
      </c>
      <c r="M33" s="53">
        <v>521191.73950000003</v>
      </c>
      <c r="N33" s="53">
        <v>0</v>
      </c>
      <c r="O33" s="53">
        <v>0</v>
      </c>
      <c r="P33" s="53">
        <v>50410.958899999998</v>
      </c>
      <c r="Q33" s="53">
        <v>11425.301599999977</v>
      </c>
      <c r="R33" s="53"/>
      <c r="S33" s="53"/>
      <c r="T33" s="53"/>
      <c r="U33" s="53"/>
      <c r="V33" s="53"/>
      <c r="W33" s="53">
        <f t="shared" si="2"/>
        <v>583028</v>
      </c>
      <c r="X33" s="53">
        <v>174897</v>
      </c>
      <c r="Y33" s="28">
        <v>398345</v>
      </c>
      <c r="Z33" s="28">
        <v>815279</v>
      </c>
      <c r="AA33" s="28">
        <v>364002</v>
      </c>
      <c r="AB33" s="28">
        <v>311966</v>
      </c>
      <c r="AC33" s="28">
        <v>907475</v>
      </c>
      <c r="AD33" s="28">
        <v>332577</v>
      </c>
      <c r="AE33" s="28">
        <v>84283</v>
      </c>
      <c r="AF33" s="28">
        <v>649822</v>
      </c>
      <c r="AG33" s="28">
        <v>209930</v>
      </c>
      <c r="AH33" s="28">
        <v>344128</v>
      </c>
      <c r="AI33" s="28">
        <v>80929</v>
      </c>
      <c r="AJ33" s="28">
        <v>81619</v>
      </c>
      <c r="AK33" s="28">
        <v>843751</v>
      </c>
      <c r="AL33" s="37">
        <f t="shared" si="3"/>
        <v>0.61820310000000001</v>
      </c>
      <c r="AM33" s="38"/>
      <c r="AN33" s="51"/>
      <c r="AO33" s="38"/>
      <c r="AQ33" s="40"/>
      <c r="AR33" s="40"/>
    </row>
    <row r="34" spans="1:44" ht="29" x14ac:dyDescent="0.35">
      <c r="A34" s="27" t="s">
        <v>55</v>
      </c>
      <c r="B34" s="27" t="s">
        <v>55</v>
      </c>
      <c r="C34" s="35" t="s">
        <v>67</v>
      </c>
      <c r="D34" s="35"/>
      <c r="E34" s="61" t="s">
        <v>114</v>
      </c>
      <c r="F34" s="27"/>
      <c r="G34" s="27"/>
      <c r="H34" s="27"/>
      <c r="I34" s="29">
        <v>20000000</v>
      </c>
      <c r="J34" s="28">
        <f t="shared" si="1"/>
        <v>11198003</v>
      </c>
      <c r="K34" s="36">
        <v>46184</v>
      </c>
      <c r="L34" s="53">
        <v>1166055</v>
      </c>
      <c r="M34" s="53">
        <v>1042383.4789</v>
      </c>
      <c r="N34" s="53">
        <v>0</v>
      </c>
      <c r="O34" s="53">
        <v>0</v>
      </c>
      <c r="P34" s="53">
        <v>100821.9178</v>
      </c>
      <c r="Q34" s="53">
        <v>22849.603300000017</v>
      </c>
      <c r="R34" s="53"/>
      <c r="S34" s="53"/>
      <c r="T34" s="53"/>
      <c r="U34" s="53"/>
      <c r="V34" s="53"/>
      <c r="W34" s="53">
        <f t="shared" si="2"/>
        <v>1166055</v>
      </c>
      <c r="X34" s="53">
        <v>349795</v>
      </c>
      <c r="Y34" s="28">
        <v>796688</v>
      </c>
      <c r="Z34" s="28">
        <v>1630556</v>
      </c>
      <c r="AA34" s="28">
        <v>728007</v>
      </c>
      <c r="AB34" s="28">
        <v>623930</v>
      </c>
      <c r="AC34" s="28">
        <v>1814953</v>
      </c>
      <c r="AD34" s="28">
        <v>665157</v>
      </c>
      <c r="AE34" s="28">
        <v>168559</v>
      </c>
      <c r="AF34" s="28">
        <v>1299644</v>
      </c>
      <c r="AG34" s="28">
        <v>419860</v>
      </c>
      <c r="AH34" s="28">
        <v>688257</v>
      </c>
      <c r="AI34" s="28">
        <v>161858</v>
      </c>
      <c r="AJ34" s="28">
        <v>163237</v>
      </c>
      <c r="AK34" s="28">
        <v>1687502</v>
      </c>
      <c r="AL34" s="37">
        <f t="shared" si="3"/>
        <v>0.6182029</v>
      </c>
      <c r="AM34" s="38"/>
      <c r="AN34" s="51"/>
      <c r="AO34" s="38"/>
      <c r="AQ34" s="40"/>
      <c r="AR34" s="40"/>
    </row>
    <row r="35" spans="1:44" ht="29" x14ac:dyDescent="0.35">
      <c r="A35" s="27" t="s">
        <v>56</v>
      </c>
      <c r="B35" s="27" t="s">
        <v>56</v>
      </c>
      <c r="C35" s="35" t="s">
        <v>67</v>
      </c>
      <c r="D35" s="35"/>
      <c r="E35" s="61" t="s">
        <v>114</v>
      </c>
      <c r="F35" s="27"/>
      <c r="G35" s="27"/>
      <c r="H35" s="27"/>
      <c r="I35" s="29">
        <v>20000000</v>
      </c>
      <c r="J35" s="28">
        <f t="shared" si="1"/>
        <v>11198003</v>
      </c>
      <c r="K35" s="36">
        <v>46184</v>
      </c>
      <c r="L35" s="53">
        <v>1166055</v>
      </c>
      <c r="M35" s="53">
        <v>1042383.4789</v>
      </c>
      <c r="N35" s="53">
        <v>0</v>
      </c>
      <c r="O35" s="53">
        <v>0</v>
      </c>
      <c r="P35" s="53">
        <v>100821.9178</v>
      </c>
      <c r="Q35" s="53">
        <v>22849.603300000017</v>
      </c>
      <c r="R35" s="53"/>
      <c r="S35" s="53"/>
      <c r="T35" s="53"/>
      <c r="U35" s="53"/>
      <c r="V35" s="53"/>
      <c r="W35" s="53">
        <f t="shared" si="2"/>
        <v>1166055</v>
      </c>
      <c r="X35" s="53">
        <v>349795</v>
      </c>
      <c r="Y35" s="28">
        <v>796688</v>
      </c>
      <c r="Z35" s="28">
        <v>1630556</v>
      </c>
      <c r="AA35" s="28">
        <v>728007</v>
      </c>
      <c r="AB35" s="28">
        <v>623930</v>
      </c>
      <c r="AC35" s="28">
        <v>1814953</v>
      </c>
      <c r="AD35" s="28">
        <v>665157</v>
      </c>
      <c r="AE35" s="28">
        <v>168559</v>
      </c>
      <c r="AF35" s="28">
        <v>1299644</v>
      </c>
      <c r="AG35" s="28">
        <v>419860</v>
      </c>
      <c r="AH35" s="28">
        <v>688257</v>
      </c>
      <c r="AI35" s="28">
        <v>161858</v>
      </c>
      <c r="AJ35" s="28">
        <v>163237</v>
      </c>
      <c r="AK35" s="28">
        <v>1687502</v>
      </c>
      <c r="AL35" s="37">
        <f t="shared" si="3"/>
        <v>0.6182029</v>
      </c>
      <c r="AM35" s="38"/>
      <c r="AN35" s="51"/>
      <c r="AO35" s="38"/>
      <c r="AQ35" s="40"/>
      <c r="AR35" s="40"/>
    </row>
    <row r="36" spans="1:44" ht="29" x14ac:dyDescent="0.35">
      <c r="A36" s="27" t="s">
        <v>57</v>
      </c>
      <c r="B36" s="27" t="s">
        <v>57</v>
      </c>
      <c r="C36" s="35" t="s">
        <v>67</v>
      </c>
      <c r="D36" s="35"/>
      <c r="E36" s="61" t="s">
        <v>114</v>
      </c>
      <c r="F36" s="27"/>
      <c r="G36" s="27"/>
      <c r="H36" s="27"/>
      <c r="I36" s="29">
        <v>12500000</v>
      </c>
      <c r="J36" s="28">
        <f t="shared" si="1"/>
        <v>6998753</v>
      </c>
      <c r="K36" s="36">
        <v>46184</v>
      </c>
      <c r="L36" s="53">
        <v>728785</v>
      </c>
      <c r="M36" s="53">
        <v>651489.67429999996</v>
      </c>
      <c r="N36" s="53">
        <v>0</v>
      </c>
      <c r="O36" s="53">
        <v>0</v>
      </c>
      <c r="P36" s="53">
        <v>63013.698600000003</v>
      </c>
      <c r="Q36" s="53">
        <v>14281.627100000042</v>
      </c>
      <c r="R36" s="53"/>
      <c r="S36" s="53"/>
      <c r="T36" s="53"/>
      <c r="U36" s="53"/>
      <c r="V36" s="53"/>
      <c r="W36" s="53">
        <f t="shared" si="2"/>
        <v>728785</v>
      </c>
      <c r="X36" s="53">
        <v>218622</v>
      </c>
      <c r="Y36" s="28">
        <v>497930</v>
      </c>
      <c r="Z36" s="28">
        <v>1019098</v>
      </c>
      <c r="AA36" s="28">
        <v>455004</v>
      </c>
      <c r="AB36" s="28">
        <v>389956</v>
      </c>
      <c r="AC36" s="28">
        <v>1134346</v>
      </c>
      <c r="AD36" s="28">
        <v>415722</v>
      </c>
      <c r="AE36" s="28">
        <v>105351</v>
      </c>
      <c r="AF36" s="28">
        <v>812279</v>
      </c>
      <c r="AG36" s="28">
        <v>262412</v>
      </c>
      <c r="AH36" s="28">
        <v>430160</v>
      </c>
      <c r="AI36" s="28">
        <v>101161</v>
      </c>
      <c r="AJ36" s="28">
        <v>102023</v>
      </c>
      <c r="AK36" s="28">
        <v>1054689</v>
      </c>
      <c r="AL36" s="37">
        <f t="shared" si="3"/>
        <v>0.61820304000000004</v>
      </c>
      <c r="AM36" s="38"/>
      <c r="AN36" s="51"/>
      <c r="AO36" s="38"/>
      <c r="AQ36" s="40"/>
      <c r="AR36" s="40"/>
    </row>
    <row r="37" spans="1:44" ht="29" x14ac:dyDescent="0.35">
      <c r="A37" s="27" t="s">
        <v>58</v>
      </c>
      <c r="B37" s="27" t="s">
        <v>58</v>
      </c>
      <c r="C37" s="35" t="s">
        <v>67</v>
      </c>
      <c r="D37" s="35"/>
      <c r="E37" s="61" t="s">
        <v>114</v>
      </c>
      <c r="F37" s="27"/>
      <c r="G37" s="27"/>
      <c r="H37" s="27"/>
      <c r="I37" s="29">
        <v>10000000</v>
      </c>
      <c r="J37" s="28">
        <f t="shared" si="1"/>
        <v>5599003</v>
      </c>
      <c r="K37" s="36">
        <v>46184</v>
      </c>
      <c r="L37" s="53">
        <v>583028</v>
      </c>
      <c r="M37" s="53">
        <v>521191.73950000003</v>
      </c>
      <c r="N37" s="53">
        <v>0</v>
      </c>
      <c r="O37" s="53">
        <v>0</v>
      </c>
      <c r="P37" s="53">
        <v>50410.958899999998</v>
      </c>
      <c r="Q37" s="53">
        <v>11425.301599999977</v>
      </c>
      <c r="R37" s="53"/>
      <c r="S37" s="53"/>
      <c r="T37" s="53"/>
      <c r="U37" s="53"/>
      <c r="V37" s="53"/>
      <c r="W37" s="53">
        <f t="shared" si="2"/>
        <v>583028</v>
      </c>
      <c r="X37" s="53">
        <v>174897</v>
      </c>
      <c r="Y37" s="28">
        <v>398345</v>
      </c>
      <c r="Z37" s="28">
        <v>815279</v>
      </c>
      <c r="AA37" s="28">
        <v>364002</v>
      </c>
      <c r="AB37" s="28">
        <v>311966</v>
      </c>
      <c r="AC37" s="28">
        <v>907475</v>
      </c>
      <c r="AD37" s="28">
        <v>332577</v>
      </c>
      <c r="AE37" s="28">
        <v>84283</v>
      </c>
      <c r="AF37" s="28">
        <v>649822</v>
      </c>
      <c r="AG37" s="28">
        <v>209930</v>
      </c>
      <c r="AH37" s="28">
        <v>344128</v>
      </c>
      <c r="AI37" s="28">
        <v>80929</v>
      </c>
      <c r="AJ37" s="28">
        <v>81619</v>
      </c>
      <c r="AK37" s="28">
        <v>843751</v>
      </c>
      <c r="AL37" s="37">
        <f t="shared" si="3"/>
        <v>0.61820310000000001</v>
      </c>
      <c r="AM37" s="38"/>
      <c r="AN37" s="51"/>
      <c r="AO37" s="38"/>
      <c r="AQ37" s="40"/>
      <c r="AR37" s="40"/>
    </row>
    <row r="38" spans="1:44" ht="29" x14ac:dyDescent="0.35">
      <c r="A38" s="27" t="s">
        <v>99</v>
      </c>
      <c r="B38" s="27" t="s">
        <v>99</v>
      </c>
      <c r="C38" s="35" t="s">
        <v>67</v>
      </c>
      <c r="D38" s="35"/>
      <c r="E38" s="61" t="s">
        <v>114</v>
      </c>
      <c r="F38" s="27"/>
      <c r="G38" s="27"/>
      <c r="H38" s="27"/>
      <c r="I38" s="29">
        <v>10000000</v>
      </c>
      <c r="J38" s="28">
        <f t="shared" si="1"/>
        <v>5599003</v>
      </c>
      <c r="K38" s="36">
        <v>46184</v>
      </c>
      <c r="L38" s="53">
        <v>583028</v>
      </c>
      <c r="M38" s="53">
        <v>521191.73950000003</v>
      </c>
      <c r="N38" s="53">
        <v>0</v>
      </c>
      <c r="O38" s="53">
        <v>0</v>
      </c>
      <c r="P38" s="53">
        <v>50410.958899999998</v>
      </c>
      <c r="Q38" s="53">
        <v>11425.301599999977</v>
      </c>
      <c r="R38" s="53"/>
      <c r="S38" s="53"/>
      <c r="T38" s="53"/>
      <c r="U38" s="53"/>
      <c r="V38" s="53"/>
      <c r="W38" s="53">
        <f t="shared" si="2"/>
        <v>583028</v>
      </c>
      <c r="X38" s="53">
        <v>174897</v>
      </c>
      <c r="Y38" s="28">
        <v>398345</v>
      </c>
      <c r="Z38" s="28">
        <v>815279</v>
      </c>
      <c r="AA38" s="28">
        <v>364002</v>
      </c>
      <c r="AB38" s="28">
        <v>311966</v>
      </c>
      <c r="AC38" s="28">
        <v>907475</v>
      </c>
      <c r="AD38" s="28">
        <v>332577</v>
      </c>
      <c r="AE38" s="28">
        <v>84205</v>
      </c>
      <c r="AF38" s="28">
        <v>2210257</v>
      </c>
      <c r="AG38" s="28"/>
      <c r="AH38" s="28"/>
      <c r="AI38" s="28"/>
      <c r="AJ38" s="28"/>
      <c r="AK38" s="28"/>
      <c r="AL38" s="37">
        <f t="shared" si="3"/>
        <v>0.61820310000000001</v>
      </c>
      <c r="AM38" s="38"/>
      <c r="AN38" s="51"/>
      <c r="AO38" s="38"/>
      <c r="AQ38" s="40"/>
      <c r="AR38" s="40"/>
    </row>
    <row r="39" spans="1:44" ht="29" x14ac:dyDescent="0.35">
      <c r="A39" s="27" t="s">
        <v>100</v>
      </c>
      <c r="B39" s="27" t="s">
        <v>100</v>
      </c>
      <c r="C39" s="35" t="s">
        <v>67</v>
      </c>
      <c r="D39" s="35"/>
      <c r="E39" s="61" t="s">
        <v>159</v>
      </c>
      <c r="F39" s="27"/>
      <c r="G39" s="27"/>
      <c r="H39" s="27"/>
      <c r="I39" s="29">
        <v>20000000</v>
      </c>
      <c r="J39" s="28">
        <f t="shared" si="1"/>
        <v>11198003</v>
      </c>
      <c r="K39" s="36">
        <v>46184</v>
      </c>
      <c r="L39" s="53">
        <v>1166055</v>
      </c>
      <c r="M39" s="53">
        <v>1042383.4789</v>
      </c>
      <c r="N39" s="53">
        <v>0</v>
      </c>
      <c r="O39" s="53">
        <v>0</v>
      </c>
      <c r="P39" s="53">
        <v>100821.9178</v>
      </c>
      <c r="Q39" s="53">
        <v>22849.603300000017</v>
      </c>
      <c r="R39" s="53"/>
      <c r="S39" s="53"/>
      <c r="T39" s="53"/>
      <c r="U39" s="53"/>
      <c r="V39" s="53"/>
      <c r="W39" s="53">
        <f t="shared" si="2"/>
        <v>1166055</v>
      </c>
      <c r="X39" s="53">
        <v>349795</v>
      </c>
      <c r="Y39" s="28">
        <v>796688</v>
      </c>
      <c r="Z39" s="28">
        <v>1630556</v>
      </c>
      <c r="AA39" s="28">
        <v>728007</v>
      </c>
      <c r="AB39" s="28">
        <v>623930</v>
      </c>
      <c r="AC39" s="28">
        <v>1814953</v>
      </c>
      <c r="AD39" s="28">
        <v>665157</v>
      </c>
      <c r="AE39" s="28">
        <v>168403</v>
      </c>
      <c r="AF39" s="28">
        <v>4420514</v>
      </c>
      <c r="AG39" s="28"/>
      <c r="AH39" s="28"/>
      <c r="AI39" s="28"/>
      <c r="AJ39" s="28"/>
      <c r="AK39" s="28"/>
      <c r="AL39" s="37">
        <f t="shared" si="3"/>
        <v>0.6182029</v>
      </c>
      <c r="AM39" s="38"/>
      <c r="AN39" s="51"/>
      <c r="AO39" s="38"/>
      <c r="AQ39" s="40"/>
      <c r="AR39" s="40"/>
    </row>
    <row r="40" spans="1:44" ht="29" x14ac:dyDescent="0.35">
      <c r="A40" s="27" t="s">
        <v>101</v>
      </c>
      <c r="B40" s="27" t="s">
        <v>101</v>
      </c>
      <c r="C40" s="35" t="s">
        <v>67</v>
      </c>
      <c r="D40" s="35"/>
      <c r="E40" s="61" t="s">
        <v>159</v>
      </c>
      <c r="F40" s="27"/>
      <c r="G40" s="27"/>
      <c r="H40" s="27"/>
      <c r="I40" s="29">
        <v>10000000</v>
      </c>
      <c r="J40" s="28">
        <f t="shared" si="1"/>
        <v>5599003</v>
      </c>
      <c r="K40" s="36">
        <v>46184</v>
      </c>
      <c r="L40" s="53">
        <v>583028</v>
      </c>
      <c r="M40" s="53">
        <v>521191.73950000003</v>
      </c>
      <c r="N40" s="53">
        <v>0</v>
      </c>
      <c r="O40" s="53">
        <v>0</v>
      </c>
      <c r="P40" s="53">
        <v>50410.958899999998</v>
      </c>
      <c r="Q40" s="53">
        <v>11425.301599999977</v>
      </c>
      <c r="R40" s="53"/>
      <c r="S40" s="53"/>
      <c r="T40" s="53"/>
      <c r="U40" s="53"/>
      <c r="V40" s="53"/>
      <c r="W40" s="53">
        <f t="shared" si="2"/>
        <v>583028</v>
      </c>
      <c r="X40" s="53">
        <v>174897</v>
      </c>
      <c r="Y40" s="28">
        <v>398345</v>
      </c>
      <c r="Z40" s="28">
        <v>815279</v>
      </c>
      <c r="AA40" s="28">
        <v>364002</v>
      </c>
      <c r="AB40" s="28">
        <v>311966</v>
      </c>
      <c r="AC40" s="28">
        <v>907475</v>
      </c>
      <c r="AD40" s="28">
        <v>332577</v>
      </c>
      <c r="AE40" s="28">
        <v>84205</v>
      </c>
      <c r="AF40" s="28">
        <v>2210257</v>
      </c>
      <c r="AG40" s="28"/>
      <c r="AH40" s="28"/>
      <c r="AI40" s="28"/>
      <c r="AJ40" s="28"/>
      <c r="AK40" s="28"/>
      <c r="AL40" s="37">
        <f t="shared" si="3"/>
        <v>0.61820310000000001</v>
      </c>
      <c r="AM40" s="38"/>
      <c r="AN40" s="51"/>
      <c r="AO40" s="38"/>
      <c r="AQ40" s="40"/>
      <c r="AR40" s="40"/>
    </row>
    <row r="41" spans="1:44" ht="29" x14ac:dyDescent="0.35">
      <c r="A41" s="27" t="s">
        <v>105</v>
      </c>
      <c r="B41" s="27" t="s">
        <v>105</v>
      </c>
      <c r="C41" s="35" t="s">
        <v>67</v>
      </c>
      <c r="D41" s="35"/>
      <c r="E41" s="61" t="s">
        <v>159</v>
      </c>
      <c r="F41" s="27"/>
      <c r="G41" s="27"/>
      <c r="H41" s="27"/>
      <c r="I41" s="29">
        <v>20000000</v>
      </c>
      <c r="J41" s="28">
        <f t="shared" si="1"/>
        <v>11198002</v>
      </c>
      <c r="K41" s="36">
        <v>46184</v>
      </c>
      <c r="L41" s="53">
        <v>1166055</v>
      </c>
      <c r="M41" s="53">
        <v>1042383.4789</v>
      </c>
      <c r="N41" s="53">
        <v>0</v>
      </c>
      <c r="O41" s="53">
        <v>0</v>
      </c>
      <c r="P41" s="53">
        <v>100821.9178</v>
      </c>
      <c r="Q41" s="53">
        <v>22849.603300000017</v>
      </c>
      <c r="R41" s="53"/>
      <c r="S41" s="53"/>
      <c r="T41" s="53"/>
      <c r="U41" s="53"/>
      <c r="V41" s="53"/>
      <c r="W41" s="53">
        <f t="shared" si="2"/>
        <v>1166055</v>
      </c>
      <c r="X41" s="53">
        <v>349795</v>
      </c>
      <c r="Y41" s="28">
        <v>796688</v>
      </c>
      <c r="Z41" s="28">
        <v>1630556</v>
      </c>
      <c r="AA41" s="28">
        <v>4574484</v>
      </c>
      <c r="AB41" s="28">
        <v>311966</v>
      </c>
      <c r="AC41" s="28">
        <v>907475</v>
      </c>
      <c r="AD41" s="28">
        <v>332559</v>
      </c>
      <c r="AE41" s="28">
        <v>2294479</v>
      </c>
      <c r="AF41" s="28"/>
      <c r="AG41" s="28"/>
      <c r="AH41" s="28"/>
      <c r="AI41" s="28"/>
      <c r="AJ41" s="28"/>
      <c r="AK41" s="28"/>
      <c r="AL41" s="37">
        <f t="shared" si="3"/>
        <v>0.61820284999999997</v>
      </c>
      <c r="AM41" s="38"/>
      <c r="AN41" s="51"/>
      <c r="AO41" s="38"/>
      <c r="AQ41" s="40"/>
      <c r="AR41" s="40"/>
    </row>
    <row r="42" spans="1:44" ht="29" x14ac:dyDescent="0.35">
      <c r="A42" s="27" t="s">
        <v>106</v>
      </c>
      <c r="B42" s="27" t="s">
        <v>106</v>
      </c>
      <c r="C42" s="35" t="s">
        <v>67</v>
      </c>
      <c r="D42" s="35"/>
      <c r="E42" s="61" t="s">
        <v>159</v>
      </c>
      <c r="F42" s="27"/>
      <c r="G42" s="27"/>
      <c r="H42" s="27"/>
      <c r="I42" s="29">
        <v>20000000</v>
      </c>
      <c r="J42" s="28">
        <f t="shared" si="1"/>
        <v>11198003</v>
      </c>
      <c r="K42" s="36">
        <v>46184</v>
      </c>
      <c r="L42" s="53">
        <v>1166055</v>
      </c>
      <c r="M42" s="53">
        <v>1042383.4789</v>
      </c>
      <c r="N42" s="53">
        <v>0</v>
      </c>
      <c r="O42" s="53">
        <v>0</v>
      </c>
      <c r="P42" s="53">
        <v>100821.9178</v>
      </c>
      <c r="Q42" s="53">
        <v>22849.603300000017</v>
      </c>
      <c r="R42" s="53"/>
      <c r="S42" s="53"/>
      <c r="T42" s="53"/>
      <c r="U42" s="53"/>
      <c r="V42" s="53"/>
      <c r="W42" s="53">
        <f t="shared" si="2"/>
        <v>1166055</v>
      </c>
      <c r="X42" s="53">
        <v>349795</v>
      </c>
      <c r="Y42" s="28">
        <v>796688</v>
      </c>
      <c r="Z42" s="28">
        <v>1630556</v>
      </c>
      <c r="AA42" s="28">
        <v>728007</v>
      </c>
      <c r="AB42" s="28">
        <v>623930</v>
      </c>
      <c r="AC42" s="28">
        <v>1814952</v>
      </c>
      <c r="AD42" s="28">
        <v>665122</v>
      </c>
      <c r="AE42" s="28">
        <v>4588953</v>
      </c>
      <c r="AF42" s="28"/>
      <c r="AG42" s="28"/>
      <c r="AH42" s="28"/>
      <c r="AI42" s="28"/>
      <c r="AJ42" s="28"/>
      <c r="AK42" s="28"/>
      <c r="AL42" s="37">
        <f t="shared" si="3"/>
        <v>0.6182029</v>
      </c>
      <c r="AM42" s="38"/>
      <c r="AN42" s="51"/>
      <c r="AO42" s="38"/>
      <c r="AQ42" s="40"/>
      <c r="AR42" s="40"/>
    </row>
    <row r="43" spans="1:44" ht="29" x14ac:dyDescent="0.35">
      <c r="A43" s="27" t="s">
        <v>107</v>
      </c>
      <c r="B43" s="27" t="s">
        <v>107</v>
      </c>
      <c r="C43" s="35" t="s">
        <v>67</v>
      </c>
      <c r="D43" s="35"/>
      <c r="E43" s="61" t="s">
        <v>160</v>
      </c>
      <c r="F43" s="27"/>
      <c r="G43" s="27"/>
      <c r="H43" s="27"/>
      <c r="I43" s="29">
        <v>10000000</v>
      </c>
      <c r="J43" s="28">
        <f t="shared" si="1"/>
        <v>5599003</v>
      </c>
      <c r="K43" s="36">
        <v>46184</v>
      </c>
      <c r="L43" s="53">
        <v>583028</v>
      </c>
      <c r="M43" s="53">
        <v>521191.73950000003</v>
      </c>
      <c r="N43" s="53">
        <v>0</v>
      </c>
      <c r="O43" s="53">
        <v>0</v>
      </c>
      <c r="P43" s="53">
        <v>50410.958899999998</v>
      </c>
      <c r="Q43" s="53">
        <v>11425.301599999977</v>
      </c>
      <c r="R43" s="53"/>
      <c r="S43" s="53"/>
      <c r="T43" s="53"/>
      <c r="U43" s="53"/>
      <c r="V43" s="53"/>
      <c r="W43" s="53">
        <f t="shared" si="2"/>
        <v>583028</v>
      </c>
      <c r="X43" s="53">
        <v>174897</v>
      </c>
      <c r="Y43" s="28">
        <v>398345</v>
      </c>
      <c r="Z43" s="28">
        <v>815279</v>
      </c>
      <c r="AA43" s="28">
        <v>364003</v>
      </c>
      <c r="AB43" s="28">
        <v>311966</v>
      </c>
      <c r="AC43" s="28">
        <v>907475</v>
      </c>
      <c r="AD43" s="28">
        <v>332559</v>
      </c>
      <c r="AE43" s="28">
        <v>2294479</v>
      </c>
      <c r="AF43" s="28"/>
      <c r="AG43" s="28"/>
      <c r="AH43" s="28"/>
      <c r="AI43" s="28"/>
      <c r="AJ43" s="28"/>
      <c r="AK43" s="28"/>
      <c r="AL43" s="37">
        <f t="shared" si="3"/>
        <v>0.61820310000000001</v>
      </c>
      <c r="AM43" s="38"/>
      <c r="AN43" s="51"/>
      <c r="AO43" s="38"/>
      <c r="AQ43" s="40"/>
      <c r="AR43" s="40"/>
    </row>
    <row r="44" spans="1:44" ht="29" x14ac:dyDescent="0.35">
      <c r="A44" s="27" t="s">
        <v>108</v>
      </c>
      <c r="B44" s="27" t="s">
        <v>108</v>
      </c>
      <c r="C44" s="35" t="s">
        <v>67</v>
      </c>
      <c r="D44" s="35"/>
      <c r="E44" s="61" t="s">
        <v>160</v>
      </c>
      <c r="F44" s="27"/>
      <c r="G44" s="27"/>
      <c r="H44" s="27"/>
      <c r="I44" s="29">
        <v>10000000</v>
      </c>
      <c r="J44" s="28">
        <f t="shared" si="1"/>
        <v>5599003</v>
      </c>
      <c r="K44" s="36">
        <v>46184</v>
      </c>
      <c r="L44" s="53">
        <v>583028</v>
      </c>
      <c r="M44" s="53">
        <v>521191.73950000003</v>
      </c>
      <c r="N44" s="53">
        <v>0</v>
      </c>
      <c r="O44" s="53">
        <v>0</v>
      </c>
      <c r="P44" s="53">
        <v>50410.958899999998</v>
      </c>
      <c r="Q44" s="53">
        <v>11425.301599999977</v>
      </c>
      <c r="R44" s="53"/>
      <c r="S44" s="53"/>
      <c r="T44" s="53"/>
      <c r="U44" s="53"/>
      <c r="V44" s="53"/>
      <c r="W44" s="53">
        <f t="shared" si="2"/>
        <v>583028</v>
      </c>
      <c r="X44" s="53">
        <v>174897</v>
      </c>
      <c r="Y44" s="28">
        <v>398345</v>
      </c>
      <c r="Z44" s="28">
        <v>815279</v>
      </c>
      <c r="AA44" s="28">
        <v>364003</v>
      </c>
      <c r="AB44" s="28">
        <v>311966</v>
      </c>
      <c r="AC44" s="28">
        <v>907475</v>
      </c>
      <c r="AD44" s="28">
        <v>332559</v>
      </c>
      <c r="AE44" s="28">
        <v>2294479</v>
      </c>
      <c r="AF44" s="28"/>
      <c r="AG44" s="28"/>
      <c r="AH44" s="28"/>
      <c r="AI44" s="28"/>
      <c r="AJ44" s="28"/>
      <c r="AK44" s="28"/>
      <c r="AL44" s="37">
        <f t="shared" si="3"/>
        <v>0.61820310000000001</v>
      </c>
      <c r="AM44" s="38"/>
      <c r="AN44" s="51"/>
      <c r="AO44" s="38"/>
      <c r="AQ44" s="40"/>
      <c r="AR44" s="40"/>
    </row>
    <row r="45" spans="1:44" x14ac:dyDescent="0.35">
      <c r="A45" s="27" t="s">
        <v>59</v>
      </c>
      <c r="B45" s="27" t="s">
        <v>59</v>
      </c>
      <c r="C45" s="35" t="s">
        <v>68</v>
      </c>
      <c r="D45" s="35"/>
      <c r="E45" s="61" t="s">
        <v>158</v>
      </c>
      <c r="F45" s="27"/>
      <c r="G45" s="27"/>
      <c r="H45" s="27"/>
      <c r="I45" s="28">
        <v>328820000</v>
      </c>
      <c r="J45" s="28">
        <f t="shared" si="1"/>
        <v>182577776</v>
      </c>
      <c r="K45" s="36">
        <v>46184</v>
      </c>
      <c r="L45" s="53">
        <v>19046793</v>
      </c>
      <c r="M45" s="53">
        <v>17137826.776900001</v>
      </c>
      <c r="N45" s="53">
        <v>0</v>
      </c>
      <c r="O45" s="53">
        <v>0</v>
      </c>
      <c r="P45" s="53">
        <v>1533292.1643999999</v>
      </c>
      <c r="Q45" s="53">
        <v>375674.05869999924</v>
      </c>
      <c r="R45" s="53"/>
      <c r="S45" s="53"/>
      <c r="T45" s="53"/>
      <c r="U45" s="53"/>
      <c r="V45" s="53"/>
      <c r="W45" s="53">
        <f t="shared" si="2"/>
        <v>19046793</v>
      </c>
      <c r="X45" s="53">
        <v>5628001</v>
      </c>
      <c r="Y45" s="28">
        <v>12975377</v>
      </c>
      <c r="Z45" s="28">
        <v>26807985</v>
      </c>
      <c r="AA45" s="28">
        <v>11770682</v>
      </c>
      <c r="AB45" s="28">
        <v>10135063</v>
      </c>
      <c r="AC45" s="28">
        <v>29676957</v>
      </c>
      <c r="AD45" s="28">
        <v>10971270</v>
      </c>
      <c r="AE45" s="28">
        <v>2728058</v>
      </c>
      <c r="AF45" s="28">
        <v>21243167</v>
      </c>
      <c r="AG45" s="28">
        <v>6778591</v>
      </c>
      <c r="AH45" s="28">
        <v>11192653</v>
      </c>
      <c r="AI45" s="28">
        <v>2535218</v>
      </c>
      <c r="AJ45" s="28">
        <v>2559449</v>
      </c>
      <c r="AK45" s="28">
        <v>27575305</v>
      </c>
      <c r="AL45" s="37">
        <f t="shared" si="3"/>
        <v>0.61317611155039231</v>
      </c>
      <c r="AM45" s="38"/>
      <c r="AN45" s="51"/>
      <c r="AO45" s="38"/>
      <c r="AQ45" s="40"/>
      <c r="AR45" s="40"/>
    </row>
    <row r="46" spans="1:44" ht="29" x14ac:dyDescent="0.35">
      <c r="A46" s="27" t="s">
        <v>60</v>
      </c>
      <c r="B46" s="27" t="s">
        <v>60</v>
      </c>
      <c r="C46" s="35" t="s">
        <v>69</v>
      </c>
      <c r="D46" s="35"/>
      <c r="E46" s="61" t="s">
        <v>162</v>
      </c>
      <c r="F46" s="27"/>
      <c r="G46" s="27"/>
      <c r="H46" s="27"/>
      <c r="I46" s="28">
        <v>50000000</v>
      </c>
      <c r="J46" s="28">
        <f t="shared" si="1"/>
        <v>24895813.333333336</v>
      </c>
      <c r="K46" s="36">
        <v>46184</v>
      </c>
      <c r="L46" s="53">
        <v>2663072</v>
      </c>
      <c r="M46" s="53">
        <v>2605958.6973000001</v>
      </c>
      <c r="N46" s="53">
        <v>0</v>
      </c>
      <c r="O46" s="53">
        <v>0</v>
      </c>
      <c r="P46" s="53">
        <v>0</v>
      </c>
      <c r="Q46" s="53">
        <v>57113.302699999884</v>
      </c>
      <c r="R46" s="53"/>
      <c r="S46" s="53"/>
      <c r="T46" s="53"/>
      <c r="U46" s="53"/>
      <c r="V46" s="53"/>
      <c r="W46" s="53">
        <f t="shared" si="2"/>
        <v>2663072</v>
      </c>
      <c r="X46" s="53">
        <v>625160</v>
      </c>
      <c r="Y46" s="28">
        <v>1742393</v>
      </c>
      <c r="Z46" s="28">
        <v>4076392</v>
      </c>
      <c r="AA46" s="28">
        <v>1417537</v>
      </c>
      <c r="AB46" s="28">
        <v>1310499</v>
      </c>
      <c r="AC46" s="28">
        <v>4207568</v>
      </c>
      <c r="AD46" s="28">
        <v>1734787</v>
      </c>
      <c r="AE46" s="28">
        <v>333746</v>
      </c>
      <c r="AF46" s="28">
        <v>2997112</v>
      </c>
      <c r="AG46" s="28">
        <v>797583</v>
      </c>
      <c r="AH46" s="28">
        <v>1471314</v>
      </c>
      <c r="AI46" s="28">
        <f>448274/3</f>
        <v>149424.66666666666</v>
      </c>
      <c r="AJ46" s="28">
        <f>468026/3</f>
        <v>156008.66666666666</v>
      </c>
      <c r="AK46" s="28">
        <f>11628867/3</f>
        <v>3876289</v>
      </c>
      <c r="AL46" s="37">
        <f t="shared" si="3"/>
        <v>0.55117770666666677</v>
      </c>
      <c r="AM46" s="38"/>
      <c r="AN46" s="51"/>
      <c r="AO46" s="38"/>
      <c r="AQ46" s="40"/>
      <c r="AR46" s="40"/>
    </row>
    <row r="47" spans="1:44" ht="29" x14ac:dyDescent="0.35">
      <c r="A47" s="27" t="s">
        <v>90</v>
      </c>
      <c r="B47" s="27" t="s">
        <v>90</v>
      </c>
      <c r="C47" s="35" t="s">
        <v>91</v>
      </c>
      <c r="D47" s="35"/>
      <c r="E47" s="61" t="s">
        <v>162</v>
      </c>
      <c r="F47" s="27"/>
      <c r="G47" s="27"/>
      <c r="H47" s="27"/>
      <c r="I47" s="28">
        <v>100000000</v>
      </c>
      <c r="J47" s="28">
        <f t="shared" si="1"/>
        <v>49791630.666666672</v>
      </c>
      <c r="K47" s="36">
        <v>46184</v>
      </c>
      <c r="L47" s="53">
        <v>5326143</v>
      </c>
      <c r="M47" s="53">
        <v>5211917.3946000002</v>
      </c>
      <c r="N47" s="53">
        <v>0</v>
      </c>
      <c r="O47" s="53">
        <v>0</v>
      </c>
      <c r="P47" s="53">
        <v>0</v>
      </c>
      <c r="Q47" s="53">
        <v>114225.60539999977</v>
      </c>
      <c r="R47" s="53"/>
      <c r="S47" s="53"/>
      <c r="T47" s="53"/>
      <c r="U47" s="53"/>
      <c r="V47" s="53"/>
      <c r="W47" s="53">
        <f t="shared" si="2"/>
        <v>5326143</v>
      </c>
      <c r="X47" s="53">
        <v>1250319</v>
      </c>
      <c r="Y47" s="28">
        <v>3484787</v>
      </c>
      <c r="Z47" s="28">
        <v>8152784</v>
      </c>
      <c r="AA47" s="28">
        <v>2835076</v>
      </c>
      <c r="AB47" s="28">
        <v>2620997</v>
      </c>
      <c r="AC47" s="28">
        <v>8415138</v>
      </c>
      <c r="AD47" s="28">
        <v>3469574</v>
      </c>
      <c r="AE47" s="28">
        <v>667492</v>
      </c>
      <c r="AF47" s="28">
        <v>5994225</v>
      </c>
      <c r="AG47" s="28">
        <v>1595165</v>
      </c>
      <c r="AH47" s="28">
        <v>2942629</v>
      </c>
      <c r="AI47" s="28">
        <f>448274*2/3</f>
        <v>298849.33333333331</v>
      </c>
      <c r="AJ47" s="28">
        <f>468026*2/3</f>
        <v>312017.33333333331</v>
      </c>
      <c r="AK47" s="28">
        <f>11628867*2/3</f>
        <v>7752578</v>
      </c>
      <c r="AL47" s="37">
        <f t="shared" si="3"/>
        <v>0.5511777366666667</v>
      </c>
      <c r="AM47" s="38"/>
      <c r="AN47" s="51"/>
      <c r="AO47" s="38"/>
      <c r="AQ47" s="40"/>
      <c r="AR47" s="40"/>
    </row>
    <row r="48" spans="1:44" ht="29" x14ac:dyDescent="0.35">
      <c r="A48" s="27" t="s">
        <v>61</v>
      </c>
      <c r="B48" s="27" t="s">
        <v>61</v>
      </c>
      <c r="C48" s="35" t="s">
        <v>70</v>
      </c>
      <c r="D48" s="35"/>
      <c r="E48" s="61" t="s">
        <v>162</v>
      </c>
      <c r="F48" s="27"/>
      <c r="G48" s="27"/>
      <c r="H48" s="27"/>
      <c r="I48" s="29">
        <v>2500000</v>
      </c>
      <c r="J48" s="28">
        <f t="shared" si="1"/>
        <v>1362352</v>
      </c>
      <c r="K48" s="36">
        <v>46184</v>
      </c>
      <c r="L48" s="53">
        <v>133154</v>
      </c>
      <c r="M48" s="53">
        <v>130297.93489999999</v>
      </c>
      <c r="N48" s="53">
        <v>0</v>
      </c>
      <c r="O48" s="53">
        <v>0</v>
      </c>
      <c r="P48" s="53">
        <v>0</v>
      </c>
      <c r="Q48" s="53">
        <v>2856.0651000000071</v>
      </c>
      <c r="R48" s="53"/>
      <c r="S48" s="53"/>
      <c r="T48" s="53"/>
      <c r="U48" s="53"/>
      <c r="V48" s="53"/>
      <c r="W48" s="53">
        <f t="shared" si="2"/>
        <v>133154</v>
      </c>
      <c r="X48" s="53">
        <v>31258</v>
      </c>
      <c r="Y48" s="28">
        <v>87120</v>
      </c>
      <c r="Z48" s="28">
        <v>203819</v>
      </c>
      <c r="AA48" s="28">
        <v>78535</v>
      </c>
      <c r="AB48" s="28">
        <v>77992</v>
      </c>
      <c r="AC48" s="28">
        <v>226868</v>
      </c>
      <c r="AD48" s="28">
        <v>83144</v>
      </c>
      <c r="AE48" s="28">
        <v>21071</v>
      </c>
      <c r="AF48" s="28">
        <v>162456</v>
      </c>
      <c r="AG48" s="28">
        <v>52482</v>
      </c>
      <c r="AH48" s="28">
        <v>86032</v>
      </c>
      <c r="AI48" s="28">
        <v>20232</v>
      </c>
      <c r="AJ48" s="28">
        <v>20405</v>
      </c>
      <c r="AK48" s="28">
        <v>210938</v>
      </c>
      <c r="AL48" s="37">
        <f t="shared" si="3"/>
        <v>0.59820240000000002</v>
      </c>
      <c r="AM48" s="38"/>
      <c r="AN48" s="51"/>
      <c r="AO48" s="38"/>
      <c r="AQ48" s="40"/>
      <c r="AR48" s="40"/>
    </row>
    <row r="49" spans="1:44" ht="29" x14ac:dyDescent="0.35">
      <c r="A49" s="27" t="s">
        <v>62</v>
      </c>
      <c r="B49" s="27" t="s">
        <v>62</v>
      </c>
      <c r="C49" s="35" t="s">
        <v>70</v>
      </c>
      <c r="D49" s="35"/>
      <c r="E49" s="61" t="s">
        <v>162</v>
      </c>
      <c r="F49" s="27"/>
      <c r="G49" s="27"/>
      <c r="H49" s="27"/>
      <c r="I49" s="29">
        <v>3500000</v>
      </c>
      <c r="J49" s="28">
        <f t="shared" si="1"/>
        <v>1907292</v>
      </c>
      <c r="K49" s="36">
        <v>46184</v>
      </c>
      <c r="L49" s="53">
        <v>186415</v>
      </c>
      <c r="M49" s="53">
        <v>182417.10879999999</v>
      </c>
      <c r="N49" s="53">
        <v>0</v>
      </c>
      <c r="O49" s="53">
        <v>0</v>
      </c>
      <c r="P49" s="53">
        <v>0</v>
      </c>
      <c r="Q49" s="53">
        <v>3997.8912000000128</v>
      </c>
      <c r="R49" s="53"/>
      <c r="S49" s="53"/>
      <c r="T49" s="53"/>
      <c r="U49" s="53"/>
      <c r="V49" s="53"/>
      <c r="W49" s="53">
        <f t="shared" si="2"/>
        <v>186415</v>
      </c>
      <c r="X49" s="53">
        <v>43761</v>
      </c>
      <c r="Y49" s="28">
        <v>121967</v>
      </c>
      <c r="Z49" s="28">
        <v>285348</v>
      </c>
      <c r="AA49" s="28">
        <v>109948</v>
      </c>
      <c r="AB49" s="28">
        <v>109187</v>
      </c>
      <c r="AC49" s="28">
        <v>317617</v>
      </c>
      <c r="AD49" s="28">
        <v>116403</v>
      </c>
      <c r="AE49" s="28">
        <v>29498</v>
      </c>
      <c r="AF49" s="28">
        <v>227438</v>
      </c>
      <c r="AG49" s="28">
        <v>73475</v>
      </c>
      <c r="AH49" s="28">
        <v>120445</v>
      </c>
      <c r="AI49" s="28">
        <v>28325</v>
      </c>
      <c r="AJ49" s="28">
        <v>28567</v>
      </c>
      <c r="AK49" s="28">
        <v>295313</v>
      </c>
      <c r="AL49" s="37">
        <f t="shared" si="3"/>
        <v>0.59820200000000001</v>
      </c>
      <c r="AM49" s="38"/>
      <c r="AN49" s="51"/>
      <c r="AO49" s="38"/>
      <c r="AQ49" s="40"/>
      <c r="AR49" s="40"/>
    </row>
    <row r="50" spans="1:44" ht="29" x14ac:dyDescent="0.35">
      <c r="A50" s="27" t="s">
        <v>63</v>
      </c>
      <c r="B50" s="27" t="s">
        <v>63</v>
      </c>
      <c r="C50" s="35" t="s">
        <v>70</v>
      </c>
      <c r="D50" s="35"/>
      <c r="E50" s="61" t="s">
        <v>162</v>
      </c>
      <c r="F50" s="27"/>
      <c r="G50" s="27"/>
      <c r="H50" s="27"/>
      <c r="I50" s="29">
        <v>2500000</v>
      </c>
      <c r="J50" s="28">
        <f t="shared" si="1"/>
        <v>1362352</v>
      </c>
      <c r="K50" s="36">
        <v>46184</v>
      </c>
      <c r="L50" s="53">
        <v>133154</v>
      </c>
      <c r="M50" s="53">
        <v>130297.93489999999</v>
      </c>
      <c r="N50" s="53">
        <v>0</v>
      </c>
      <c r="O50" s="53">
        <v>0</v>
      </c>
      <c r="P50" s="53">
        <v>0</v>
      </c>
      <c r="Q50" s="53">
        <v>2856.0651000000071</v>
      </c>
      <c r="R50" s="53"/>
      <c r="S50" s="53"/>
      <c r="T50" s="53"/>
      <c r="U50" s="53"/>
      <c r="V50" s="53"/>
      <c r="W50" s="53">
        <f t="shared" si="2"/>
        <v>133154</v>
      </c>
      <c r="X50" s="53">
        <v>31258</v>
      </c>
      <c r="Y50" s="28">
        <v>87120</v>
      </c>
      <c r="Z50" s="28">
        <v>203819</v>
      </c>
      <c r="AA50" s="28">
        <v>78535</v>
      </c>
      <c r="AB50" s="28">
        <v>77992</v>
      </c>
      <c r="AC50" s="28">
        <v>226868</v>
      </c>
      <c r="AD50" s="28">
        <v>83144</v>
      </c>
      <c r="AE50" s="28">
        <v>21071</v>
      </c>
      <c r="AF50" s="28">
        <v>162456</v>
      </c>
      <c r="AG50" s="28">
        <v>52482</v>
      </c>
      <c r="AH50" s="28">
        <v>86032</v>
      </c>
      <c r="AI50" s="28">
        <v>20232</v>
      </c>
      <c r="AJ50" s="28">
        <v>20405</v>
      </c>
      <c r="AK50" s="28">
        <v>210938</v>
      </c>
      <c r="AL50" s="37">
        <f t="shared" si="3"/>
        <v>0.59820240000000002</v>
      </c>
      <c r="AM50" s="38"/>
      <c r="AN50" s="51"/>
      <c r="AO50" s="38"/>
      <c r="AQ50" s="40"/>
      <c r="AR50" s="40"/>
    </row>
    <row r="51" spans="1:44" ht="29" x14ac:dyDescent="0.35">
      <c r="A51" s="27" t="s">
        <v>64</v>
      </c>
      <c r="B51" s="27" t="s">
        <v>64</v>
      </c>
      <c r="C51" s="35" t="s">
        <v>70</v>
      </c>
      <c r="D51" s="35"/>
      <c r="E51" s="61" t="s">
        <v>162</v>
      </c>
      <c r="F51" s="27"/>
      <c r="G51" s="27"/>
      <c r="H51" s="27"/>
      <c r="I51" s="29">
        <v>2500000</v>
      </c>
      <c r="J51" s="28">
        <f t="shared" si="1"/>
        <v>1362352</v>
      </c>
      <c r="K51" s="36">
        <v>46184</v>
      </c>
      <c r="L51" s="53">
        <v>133154</v>
      </c>
      <c r="M51" s="53">
        <v>130297.93489999999</v>
      </c>
      <c r="N51" s="53">
        <v>0</v>
      </c>
      <c r="O51" s="53">
        <v>0</v>
      </c>
      <c r="P51" s="53">
        <v>0</v>
      </c>
      <c r="Q51" s="53">
        <v>2856.0651000000071</v>
      </c>
      <c r="R51" s="53"/>
      <c r="S51" s="53"/>
      <c r="T51" s="53"/>
      <c r="U51" s="53"/>
      <c r="V51" s="53"/>
      <c r="W51" s="53">
        <f t="shared" si="2"/>
        <v>133154</v>
      </c>
      <c r="X51" s="53">
        <v>31258</v>
      </c>
      <c r="Y51" s="28">
        <v>87120</v>
      </c>
      <c r="Z51" s="28">
        <v>203819</v>
      </c>
      <c r="AA51" s="28">
        <v>78535</v>
      </c>
      <c r="AB51" s="28">
        <v>77992</v>
      </c>
      <c r="AC51" s="28">
        <v>226868</v>
      </c>
      <c r="AD51" s="28">
        <v>83144</v>
      </c>
      <c r="AE51" s="28">
        <v>21071</v>
      </c>
      <c r="AF51" s="28">
        <v>162456</v>
      </c>
      <c r="AG51" s="28">
        <v>52482</v>
      </c>
      <c r="AH51" s="28">
        <v>86032</v>
      </c>
      <c r="AI51" s="28">
        <v>20232</v>
      </c>
      <c r="AJ51" s="28">
        <v>20405</v>
      </c>
      <c r="AK51" s="28">
        <v>210938</v>
      </c>
      <c r="AL51" s="37">
        <f t="shared" si="3"/>
        <v>0.59820240000000002</v>
      </c>
      <c r="AM51" s="38"/>
      <c r="AN51" s="51"/>
      <c r="AO51" s="38"/>
      <c r="AQ51" s="40"/>
      <c r="AR51" s="40"/>
    </row>
    <row r="52" spans="1:44" ht="29" x14ac:dyDescent="0.35">
      <c r="A52" s="27" t="s">
        <v>115</v>
      </c>
      <c r="B52" s="27" t="s">
        <v>115</v>
      </c>
      <c r="C52" s="35" t="s">
        <v>136</v>
      </c>
      <c r="D52" s="35"/>
      <c r="E52" s="61" t="s">
        <v>114</v>
      </c>
      <c r="F52" s="27"/>
      <c r="G52" s="27"/>
      <c r="H52" s="27"/>
      <c r="I52" s="29">
        <v>2500000</v>
      </c>
      <c r="J52" s="28">
        <f t="shared" si="1"/>
        <v>1399751</v>
      </c>
      <c r="K52" s="36">
        <v>46184</v>
      </c>
      <c r="L52" s="53">
        <v>145757</v>
      </c>
      <c r="M52" s="53">
        <v>130297.93489999999</v>
      </c>
      <c r="N52" s="53">
        <v>0</v>
      </c>
      <c r="O52" s="53">
        <v>0</v>
      </c>
      <c r="P52" s="53">
        <v>12602.7397</v>
      </c>
      <c r="Q52" s="53">
        <v>2856.325400000007</v>
      </c>
      <c r="R52" s="53"/>
      <c r="S52" s="53"/>
      <c r="T52" s="53"/>
      <c r="U52" s="53"/>
      <c r="V52" s="53"/>
      <c r="W52" s="53">
        <f t="shared" si="2"/>
        <v>145757</v>
      </c>
      <c r="X52" s="53">
        <v>43725</v>
      </c>
      <c r="Y52" s="28">
        <v>99586</v>
      </c>
      <c r="Z52" s="28">
        <v>203819</v>
      </c>
      <c r="AA52" s="28">
        <v>91001</v>
      </c>
      <c r="AB52" s="28">
        <v>77992</v>
      </c>
      <c r="AC52" s="28">
        <v>226868</v>
      </c>
      <c r="AD52" s="28">
        <v>83144</v>
      </c>
      <c r="AE52" s="28">
        <v>21071</v>
      </c>
      <c r="AF52" s="28">
        <v>162456</v>
      </c>
      <c r="AG52" s="28">
        <v>52482</v>
      </c>
      <c r="AH52" s="28">
        <v>86032</v>
      </c>
      <c r="AI52" s="28">
        <v>20232</v>
      </c>
      <c r="AJ52" s="28">
        <v>20405</v>
      </c>
      <c r="AK52" s="28">
        <v>210938</v>
      </c>
      <c r="AL52" s="37">
        <f t="shared" si="3"/>
        <v>0.61820319999999995</v>
      </c>
      <c r="AM52" s="38"/>
      <c r="AN52" s="51"/>
      <c r="AO52" s="38"/>
      <c r="AQ52" s="40"/>
      <c r="AR52" s="40"/>
    </row>
    <row r="53" spans="1:44" ht="29" x14ac:dyDescent="0.35">
      <c r="A53" s="27" t="s">
        <v>102</v>
      </c>
      <c r="B53" s="27" t="s">
        <v>102</v>
      </c>
      <c r="C53" s="35" t="s">
        <v>70</v>
      </c>
      <c r="D53" s="35"/>
      <c r="E53" s="61" t="s">
        <v>162</v>
      </c>
      <c r="F53" s="27"/>
      <c r="G53" s="27"/>
      <c r="H53" s="27"/>
      <c r="I53" s="29">
        <v>2500000</v>
      </c>
      <c r="J53" s="28">
        <f t="shared" si="1"/>
        <v>1362352</v>
      </c>
      <c r="K53" s="36">
        <v>46184</v>
      </c>
      <c r="L53" s="53">
        <v>133154</v>
      </c>
      <c r="M53" s="53">
        <v>130297.93489999999</v>
      </c>
      <c r="N53" s="53">
        <v>0</v>
      </c>
      <c r="O53" s="53">
        <v>0</v>
      </c>
      <c r="P53" s="53">
        <v>0</v>
      </c>
      <c r="Q53" s="53">
        <v>2856.0651000000071</v>
      </c>
      <c r="R53" s="53"/>
      <c r="S53" s="53"/>
      <c r="T53" s="53"/>
      <c r="U53" s="53"/>
      <c r="V53" s="53"/>
      <c r="W53" s="53">
        <f t="shared" si="2"/>
        <v>133154</v>
      </c>
      <c r="X53" s="53">
        <v>31258</v>
      </c>
      <c r="Y53" s="28">
        <v>87120</v>
      </c>
      <c r="Z53" s="28">
        <v>203819</v>
      </c>
      <c r="AA53" s="28">
        <v>78535</v>
      </c>
      <c r="AB53" s="28">
        <v>77992</v>
      </c>
      <c r="AC53" s="28">
        <v>226868</v>
      </c>
      <c r="AD53" s="28">
        <v>83144</v>
      </c>
      <c r="AE53" s="28">
        <v>21052</v>
      </c>
      <c r="AF53" s="28">
        <v>552564</v>
      </c>
      <c r="AG53" s="28"/>
      <c r="AH53" s="28"/>
      <c r="AI53" s="28"/>
      <c r="AJ53" s="28"/>
      <c r="AK53" s="28"/>
      <c r="AL53" s="37">
        <f t="shared" si="3"/>
        <v>0.59820240000000002</v>
      </c>
      <c r="AM53" s="38"/>
      <c r="AN53" s="51"/>
      <c r="AO53" s="38"/>
      <c r="AQ53" s="40"/>
      <c r="AR53" s="40"/>
    </row>
    <row r="54" spans="1:44" ht="29" x14ac:dyDescent="0.35">
      <c r="A54" s="27" t="s">
        <v>117</v>
      </c>
      <c r="B54" s="27" t="s">
        <v>117</v>
      </c>
      <c r="C54" s="35" t="s">
        <v>70</v>
      </c>
      <c r="D54" s="35"/>
      <c r="E54" s="61" t="s">
        <v>162</v>
      </c>
      <c r="F54" s="27"/>
      <c r="G54" s="27"/>
      <c r="H54" s="27"/>
      <c r="I54" s="29">
        <v>2500000</v>
      </c>
      <c r="J54" s="28">
        <f t="shared" si="1"/>
        <v>1362351</v>
      </c>
      <c r="K54" s="36">
        <v>46184</v>
      </c>
      <c r="L54" s="53">
        <v>133154</v>
      </c>
      <c r="M54" s="53">
        <v>130297.93489999999</v>
      </c>
      <c r="N54" s="53">
        <v>0</v>
      </c>
      <c r="O54" s="53">
        <v>0</v>
      </c>
      <c r="P54" s="53">
        <v>0</v>
      </c>
      <c r="Q54" s="53">
        <v>2856.0651000000071</v>
      </c>
      <c r="R54" s="53"/>
      <c r="S54" s="53"/>
      <c r="T54" s="53"/>
      <c r="U54" s="53"/>
      <c r="V54" s="53"/>
      <c r="W54" s="53">
        <f t="shared" si="2"/>
        <v>133154</v>
      </c>
      <c r="X54" s="53">
        <v>31258</v>
      </c>
      <c r="Y54" s="28">
        <v>87120</v>
      </c>
      <c r="Z54" s="28">
        <v>203819</v>
      </c>
      <c r="AA54" s="28">
        <v>1040154</v>
      </c>
      <c r="AB54" s="28"/>
      <c r="AC54" s="28"/>
      <c r="AD54" s="28"/>
      <c r="AE54" s="28"/>
      <c r="AF54" s="28"/>
      <c r="AG54" s="28"/>
      <c r="AH54" s="28"/>
      <c r="AI54" s="28"/>
      <c r="AJ54" s="28"/>
      <c r="AK54" s="28"/>
      <c r="AL54" s="37">
        <f t="shared" si="3"/>
        <v>0.59820200000000001</v>
      </c>
      <c r="AM54" s="38"/>
      <c r="AN54" s="51"/>
      <c r="AO54" s="38"/>
      <c r="AQ54" s="40"/>
      <c r="AR54" s="40"/>
    </row>
    <row r="55" spans="1:44" ht="29" x14ac:dyDescent="0.35">
      <c r="A55" s="27" t="s">
        <v>118</v>
      </c>
      <c r="B55" s="27" t="s">
        <v>118</v>
      </c>
      <c r="C55" s="35" t="s">
        <v>70</v>
      </c>
      <c r="D55" s="35"/>
      <c r="E55" s="61" t="s">
        <v>163</v>
      </c>
      <c r="F55" s="27"/>
      <c r="G55" s="27"/>
      <c r="H55" s="27"/>
      <c r="I55" s="29">
        <v>2500000</v>
      </c>
      <c r="J55" s="28">
        <f t="shared" si="1"/>
        <v>1362351</v>
      </c>
      <c r="K55" s="36">
        <v>46184</v>
      </c>
      <c r="L55" s="53">
        <v>133154</v>
      </c>
      <c r="M55" s="53">
        <v>130297.93489999999</v>
      </c>
      <c r="N55" s="53">
        <v>0</v>
      </c>
      <c r="O55" s="53">
        <v>0</v>
      </c>
      <c r="P55" s="53">
        <v>0</v>
      </c>
      <c r="Q55" s="53">
        <v>2856.0651000000071</v>
      </c>
      <c r="R55" s="53"/>
      <c r="S55" s="53"/>
      <c r="T55" s="53"/>
      <c r="U55" s="53"/>
      <c r="V55" s="53"/>
      <c r="W55" s="53">
        <f t="shared" si="2"/>
        <v>133154</v>
      </c>
      <c r="X55" s="53">
        <v>31258</v>
      </c>
      <c r="Y55" s="28">
        <v>87120</v>
      </c>
      <c r="Z55" s="28">
        <v>203819</v>
      </c>
      <c r="AA55" s="28">
        <v>1040154</v>
      </c>
      <c r="AB55" s="28"/>
      <c r="AC55" s="28"/>
      <c r="AD55" s="28"/>
      <c r="AE55" s="28"/>
      <c r="AF55" s="28"/>
      <c r="AG55" s="28"/>
      <c r="AH55" s="28"/>
      <c r="AI55" s="28"/>
      <c r="AJ55" s="28"/>
      <c r="AK55" s="28"/>
      <c r="AL55" s="37">
        <f t="shared" si="3"/>
        <v>0.59820200000000001</v>
      </c>
      <c r="AM55" s="38"/>
      <c r="AN55" s="51"/>
      <c r="AO55" s="38"/>
      <c r="AQ55" s="40"/>
      <c r="AR55" s="40"/>
    </row>
    <row r="56" spans="1:44" ht="29" x14ac:dyDescent="0.35">
      <c r="A56" s="27" t="s">
        <v>119</v>
      </c>
      <c r="B56" s="27" t="s">
        <v>119</v>
      </c>
      <c r="C56" s="35" t="s">
        <v>70</v>
      </c>
      <c r="D56" s="35"/>
      <c r="E56" s="61" t="s">
        <v>163</v>
      </c>
      <c r="F56" s="27"/>
      <c r="G56" s="27"/>
      <c r="H56" s="27"/>
      <c r="I56" s="29">
        <v>2500000</v>
      </c>
      <c r="J56" s="28">
        <f t="shared" si="1"/>
        <v>1362351</v>
      </c>
      <c r="K56" s="36">
        <v>46184</v>
      </c>
      <c r="L56" s="53">
        <v>133154</v>
      </c>
      <c r="M56" s="53">
        <v>130297.93489999999</v>
      </c>
      <c r="N56" s="53">
        <v>0</v>
      </c>
      <c r="O56" s="53">
        <v>0</v>
      </c>
      <c r="P56" s="53">
        <v>0</v>
      </c>
      <c r="Q56" s="53">
        <v>2856.0651000000071</v>
      </c>
      <c r="R56" s="53"/>
      <c r="S56" s="53"/>
      <c r="T56" s="53"/>
      <c r="U56" s="53"/>
      <c r="V56" s="53"/>
      <c r="W56" s="53">
        <f t="shared" si="2"/>
        <v>133154</v>
      </c>
      <c r="X56" s="53">
        <v>31258</v>
      </c>
      <c r="Y56" s="28">
        <v>87120</v>
      </c>
      <c r="Z56" s="28">
        <v>203819</v>
      </c>
      <c r="AA56" s="28">
        <v>1040154</v>
      </c>
      <c r="AB56" s="28"/>
      <c r="AC56" s="28"/>
      <c r="AD56" s="28"/>
      <c r="AE56" s="28"/>
      <c r="AF56" s="28"/>
      <c r="AG56" s="28"/>
      <c r="AH56" s="28"/>
      <c r="AI56" s="28"/>
      <c r="AJ56" s="28"/>
      <c r="AK56" s="28"/>
      <c r="AL56" s="37">
        <f t="shared" si="3"/>
        <v>0.59820200000000001</v>
      </c>
      <c r="AM56" s="38"/>
      <c r="AN56" s="51"/>
      <c r="AO56" s="38"/>
      <c r="AQ56" s="40"/>
      <c r="AR56" s="40"/>
    </row>
    <row r="57" spans="1:44" ht="29" x14ac:dyDescent="0.35">
      <c r="A57" s="27" t="s">
        <v>130</v>
      </c>
      <c r="B57" s="27" t="s">
        <v>130</v>
      </c>
      <c r="C57" s="35" t="s">
        <v>70</v>
      </c>
      <c r="D57" s="35"/>
      <c r="E57" s="61" t="s">
        <v>163</v>
      </c>
      <c r="F57" s="27"/>
      <c r="G57" s="27"/>
      <c r="H57" s="27"/>
      <c r="I57" s="29">
        <v>2500000</v>
      </c>
      <c r="J57" s="28">
        <f t="shared" si="1"/>
        <v>1331093</v>
      </c>
      <c r="K57" s="36">
        <v>46184</v>
      </c>
      <c r="L57" s="53">
        <v>133154</v>
      </c>
      <c r="M57" s="53">
        <v>130297.93489999999</v>
      </c>
      <c r="N57" s="53">
        <v>0</v>
      </c>
      <c r="O57" s="53">
        <v>0</v>
      </c>
      <c r="P57" s="53">
        <v>0</v>
      </c>
      <c r="Q57" s="53">
        <v>2856.0651000000071</v>
      </c>
      <c r="R57" s="53"/>
      <c r="S57" s="53"/>
      <c r="T57" s="53">
        <v>31258</v>
      </c>
      <c r="U57" s="53"/>
      <c r="V57" s="53"/>
      <c r="W57" s="53">
        <f t="shared" si="2"/>
        <v>164412</v>
      </c>
      <c r="X57" s="53"/>
      <c r="Y57" s="28">
        <v>87120</v>
      </c>
      <c r="Z57" s="28">
        <v>203819</v>
      </c>
      <c r="AA57" s="28">
        <v>1040154</v>
      </c>
      <c r="AB57" s="28"/>
      <c r="AC57" s="28"/>
      <c r="AD57" s="28"/>
      <c r="AE57" s="28"/>
      <c r="AF57" s="28"/>
      <c r="AG57" s="28"/>
      <c r="AH57" s="28"/>
      <c r="AI57" s="28"/>
      <c r="AJ57" s="28"/>
      <c r="AK57" s="28"/>
      <c r="AL57" s="37">
        <f t="shared" si="3"/>
        <v>0.59820200000000001</v>
      </c>
      <c r="AM57" s="38"/>
      <c r="AN57" s="51"/>
      <c r="AO57" s="38"/>
      <c r="AQ57" s="40"/>
      <c r="AR57" s="40"/>
    </row>
    <row r="58" spans="1:44" ht="29" x14ac:dyDescent="0.35">
      <c r="A58" s="27" t="s">
        <v>131</v>
      </c>
      <c r="B58" s="27" t="s">
        <v>131</v>
      </c>
      <c r="C58" s="35" t="s">
        <v>70</v>
      </c>
      <c r="D58" s="35"/>
      <c r="E58" s="61" t="s">
        <v>163</v>
      </c>
      <c r="F58" s="27"/>
      <c r="G58" s="27"/>
      <c r="H58" s="27"/>
      <c r="I58" s="29">
        <v>2500000</v>
      </c>
      <c r="J58" s="28">
        <f t="shared" si="1"/>
        <v>1362351</v>
      </c>
      <c r="K58" s="36">
        <v>46184</v>
      </c>
      <c r="L58" s="53">
        <v>133154</v>
      </c>
      <c r="M58" s="53">
        <v>130297.93489999999</v>
      </c>
      <c r="N58" s="53">
        <v>0</v>
      </c>
      <c r="O58" s="53">
        <v>0</v>
      </c>
      <c r="P58" s="53">
        <v>0</v>
      </c>
      <c r="Q58" s="53">
        <v>2856.0651000000071</v>
      </c>
      <c r="R58" s="53"/>
      <c r="S58" s="53"/>
      <c r="T58" s="53"/>
      <c r="U58" s="53"/>
      <c r="V58" s="53"/>
      <c r="W58" s="53">
        <f t="shared" si="2"/>
        <v>133154</v>
      </c>
      <c r="X58" s="53">
        <v>31258</v>
      </c>
      <c r="Y58" s="28">
        <v>87120</v>
      </c>
      <c r="Z58" s="28">
        <v>203819</v>
      </c>
      <c r="AA58" s="28">
        <v>1040154</v>
      </c>
      <c r="AB58" s="28"/>
      <c r="AC58" s="28"/>
      <c r="AD58" s="28"/>
      <c r="AE58" s="28"/>
      <c r="AF58" s="28"/>
      <c r="AG58" s="28"/>
      <c r="AH58" s="28"/>
      <c r="AI58" s="28"/>
      <c r="AJ58" s="28"/>
      <c r="AK58" s="28"/>
      <c r="AL58" s="37">
        <f t="shared" si="3"/>
        <v>0.59820200000000001</v>
      </c>
      <c r="AM58" s="38"/>
      <c r="AN58" s="51"/>
      <c r="AO58" s="38"/>
      <c r="AQ58" s="40"/>
      <c r="AR58" s="40"/>
    </row>
    <row r="59" spans="1:44" ht="29" x14ac:dyDescent="0.35">
      <c r="A59" s="27" t="s">
        <v>132</v>
      </c>
      <c r="B59" s="27" t="s">
        <v>132</v>
      </c>
      <c r="C59" s="35" t="s">
        <v>70</v>
      </c>
      <c r="D59" s="35"/>
      <c r="E59" s="61" t="s">
        <v>163</v>
      </c>
      <c r="F59" s="27"/>
      <c r="G59" s="27"/>
      <c r="H59" s="27"/>
      <c r="I59" s="29">
        <v>2500000</v>
      </c>
      <c r="J59" s="28">
        <f t="shared" si="1"/>
        <v>1362351</v>
      </c>
      <c r="K59" s="36">
        <v>46184</v>
      </c>
      <c r="L59" s="53">
        <v>133154</v>
      </c>
      <c r="M59" s="53">
        <v>130297.93489999999</v>
      </c>
      <c r="N59" s="53">
        <v>0</v>
      </c>
      <c r="O59" s="53">
        <v>0</v>
      </c>
      <c r="P59" s="53">
        <v>0</v>
      </c>
      <c r="Q59" s="53">
        <v>2856.0651000000071</v>
      </c>
      <c r="R59" s="53"/>
      <c r="S59" s="53"/>
      <c r="T59" s="53"/>
      <c r="U59" s="53"/>
      <c r="V59" s="53"/>
      <c r="W59" s="53">
        <f t="shared" si="2"/>
        <v>133154</v>
      </c>
      <c r="X59" s="53">
        <v>31258</v>
      </c>
      <c r="Y59" s="28">
        <v>87120</v>
      </c>
      <c r="Z59" s="28">
        <v>203819</v>
      </c>
      <c r="AA59" s="28">
        <v>1040154</v>
      </c>
      <c r="AB59" s="28"/>
      <c r="AC59" s="28"/>
      <c r="AD59" s="28"/>
      <c r="AE59" s="28"/>
      <c r="AF59" s="28"/>
      <c r="AG59" s="28"/>
      <c r="AH59" s="28"/>
      <c r="AI59" s="28"/>
      <c r="AJ59" s="28"/>
      <c r="AK59" s="28"/>
      <c r="AL59" s="37">
        <f t="shared" si="3"/>
        <v>0.59820200000000001</v>
      </c>
      <c r="AM59" s="38"/>
      <c r="AN59" s="51"/>
      <c r="AO59" s="38"/>
      <c r="AQ59" s="40"/>
      <c r="AR59" s="40"/>
    </row>
    <row r="60" spans="1:44" ht="29" x14ac:dyDescent="0.35">
      <c r="A60" s="27" t="s">
        <v>120</v>
      </c>
      <c r="B60" s="27" t="s">
        <v>120</v>
      </c>
      <c r="C60" s="35" t="s">
        <v>121</v>
      </c>
      <c r="D60" s="35"/>
      <c r="E60" s="61" t="s">
        <v>161</v>
      </c>
      <c r="F60" s="27"/>
      <c r="G60" s="27"/>
      <c r="H60" s="27"/>
      <c r="I60" s="29">
        <v>410174118</v>
      </c>
      <c r="J60" s="28">
        <f>SUM(X60:AK60)</f>
        <v>224571743</v>
      </c>
      <c r="K60" s="36">
        <v>46184</v>
      </c>
      <c r="L60" s="53">
        <v>23500725</v>
      </c>
      <c r="M60" s="53">
        <v>21377936.204100002</v>
      </c>
      <c r="N60" s="53">
        <v>0</v>
      </c>
      <c r="O60" s="53">
        <v>0</v>
      </c>
      <c r="P60" s="53">
        <v>1654181.6484999999</v>
      </c>
      <c r="Q60" s="53">
        <v>468607.1473999985</v>
      </c>
      <c r="R60" s="53"/>
      <c r="S60" s="53"/>
      <c r="T60" s="53"/>
      <c r="U60" s="53"/>
      <c r="V60" s="53"/>
      <c r="W60" s="53">
        <f t="shared" si="2"/>
        <v>23500725</v>
      </c>
      <c r="X60" s="53">
        <v>6764770</v>
      </c>
      <c r="Y60" s="28">
        <v>15929976</v>
      </c>
      <c r="Z60" s="28">
        <v>33440610</v>
      </c>
      <c r="AA60" s="28">
        <v>168436387</v>
      </c>
      <c r="AB60" s="28"/>
      <c r="AC60" s="28"/>
      <c r="AD60" s="28"/>
      <c r="AE60" s="28"/>
      <c r="AF60" s="28"/>
      <c r="AG60" s="28"/>
      <c r="AH60" s="28"/>
      <c r="AI60" s="28"/>
      <c r="AJ60" s="28"/>
      <c r="AK60" s="28"/>
      <c r="AL60" s="37">
        <f t="shared" si="3"/>
        <v>0.60479795558431604</v>
      </c>
      <c r="AM60" s="38"/>
      <c r="AN60" s="51"/>
      <c r="AO60" s="38"/>
      <c r="AQ60" s="40"/>
      <c r="AR60" s="40"/>
    </row>
    <row r="61" spans="1:44" x14ac:dyDescent="0.35">
      <c r="A61" s="27"/>
      <c r="B61" s="27"/>
      <c r="C61" s="35"/>
      <c r="D61" s="35"/>
      <c r="E61" s="61"/>
      <c r="F61" s="27"/>
      <c r="G61" s="27"/>
      <c r="H61" s="27"/>
      <c r="I61" s="29"/>
      <c r="J61" s="28"/>
      <c r="K61" s="36"/>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37"/>
      <c r="AM61" s="38"/>
      <c r="AN61" s="39"/>
      <c r="AQ61" s="40"/>
      <c r="AR61" s="40"/>
    </row>
    <row r="62" spans="1:44" x14ac:dyDescent="0.35">
      <c r="I62" s="42">
        <f>SUM(I3:I61)</f>
        <v>2734494118</v>
      </c>
      <c r="J62" s="43">
        <f>SUM(J3:J60)</f>
        <v>1504992874</v>
      </c>
      <c r="L62" s="44">
        <f>SUM(L3:L61)</f>
        <v>157234632</v>
      </c>
      <c r="M62" s="44">
        <f>SUM(M3:M61)</f>
        <v>142519574.59110007</v>
      </c>
      <c r="N62" s="44"/>
      <c r="O62" s="44">
        <f t="shared" ref="O62:V62" si="4">SUM(O3:O61)</f>
        <v>0</v>
      </c>
      <c r="P62" s="39">
        <f t="shared" si="4"/>
        <v>11590980.661899999</v>
      </c>
      <c r="Q62" s="44">
        <f t="shared" si="4"/>
        <v>3124076.7469999967</v>
      </c>
      <c r="R62" s="44">
        <f t="shared" si="4"/>
        <v>0</v>
      </c>
      <c r="S62" s="44">
        <f t="shared" si="4"/>
        <v>0</v>
      </c>
      <c r="T62" s="44">
        <f>SUM(T3:T61)</f>
        <v>416032</v>
      </c>
      <c r="U62" s="44">
        <f t="shared" si="4"/>
        <v>23596.9</v>
      </c>
      <c r="V62" s="44">
        <f t="shared" si="4"/>
        <v>0</v>
      </c>
      <c r="W62" s="44">
        <f>SUM(W3:W61)</f>
        <v>157627067.09999999</v>
      </c>
      <c r="X62" s="44">
        <f>SUM(X3:X61)</f>
        <v>45239433</v>
      </c>
      <c r="Y62" s="44">
        <f>SUM(Y3:Y61)</f>
        <v>106756869</v>
      </c>
      <c r="Z62" s="44">
        <f t="shared" ref="Z62:AF62" si="5">SUM(Z3:Z61)</f>
        <v>222937402</v>
      </c>
      <c r="AA62" s="44">
        <f t="shared" si="5"/>
        <v>263749745</v>
      </c>
      <c r="AB62" s="45">
        <f t="shared" si="5"/>
        <v>69799891</v>
      </c>
      <c r="AC62" s="45">
        <f t="shared" si="5"/>
        <v>205608755</v>
      </c>
      <c r="AD62" s="45">
        <f t="shared" si="5"/>
        <v>76604194</v>
      </c>
      <c r="AE62" s="45">
        <f t="shared" si="5"/>
        <v>51877841</v>
      </c>
      <c r="AF62" s="44">
        <f t="shared" si="5"/>
        <v>145573794</v>
      </c>
      <c r="AG62" s="44"/>
      <c r="AH62" s="44">
        <f>SUM(AH3:AH61)</f>
        <v>70194448</v>
      </c>
      <c r="AI62" s="44">
        <f>SUM(AI3:AI61)</f>
        <v>15231185</v>
      </c>
      <c r="AJ62" s="44">
        <f>SUM(AJ3:AJ61)</f>
        <v>15395508</v>
      </c>
      <c r="AK62" s="44">
        <f>SUM(AK3:AK61)</f>
        <v>173851932</v>
      </c>
      <c r="AL62" s="44"/>
      <c r="AM62" s="38"/>
    </row>
    <row r="63" spans="1:44" x14ac:dyDescent="0.35">
      <c r="J63" s="40"/>
      <c r="L63" s="39"/>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38"/>
    </row>
    <row r="64" spans="1:44" x14ac:dyDescent="0.35">
      <c r="J64" s="40"/>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8"/>
    </row>
    <row r="65" spans="10:38" x14ac:dyDescent="0.35">
      <c r="J65" s="40"/>
      <c r="L65" s="39"/>
      <c r="M65" s="39"/>
      <c r="N65" s="39"/>
      <c r="O65" s="39"/>
      <c r="P65" s="39"/>
      <c r="Q65" s="39"/>
      <c r="R65" s="39"/>
      <c r="S65" s="39"/>
      <c r="T65" s="39"/>
      <c r="W65" s="41"/>
      <c r="X65" s="41"/>
      <c r="AA65" s="41"/>
      <c r="AF65" s="39"/>
      <c r="AJ65" s="39"/>
      <c r="AK65" s="39"/>
      <c r="AL65" s="39"/>
    </row>
    <row r="66" spans="10:38" x14ac:dyDescent="0.35">
      <c r="J66" s="40"/>
      <c r="L66" s="41"/>
      <c r="M66" s="41"/>
      <c r="N66" s="41"/>
      <c r="O66" s="41"/>
      <c r="P66" s="41"/>
      <c r="Q66" s="41"/>
      <c r="R66" s="41"/>
      <c r="S66" s="41"/>
      <c r="T66" s="41"/>
      <c r="AF66" s="41"/>
    </row>
    <row r="68" spans="10:38" x14ac:dyDescent="0.35">
      <c r="AA68" s="38"/>
      <c r="AB68" s="38"/>
    </row>
    <row r="69" spans="10:38" x14ac:dyDescent="0.35">
      <c r="AA69" s="41"/>
      <c r="AB69" s="41"/>
    </row>
  </sheetData>
  <autoFilter ref="A2:AL60" xr:uid="{00000000-0001-0000-0100-000000000000}"/>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7"/>
  <sheetViews>
    <sheetView showGridLines="0" view="pageBreakPreview" zoomScale="80" zoomScaleNormal="100" zoomScaleSheetLayoutView="100" workbookViewId="0"/>
  </sheetViews>
  <sheetFormatPr defaultColWidth="8.81640625" defaultRowHeight="15.5" x14ac:dyDescent="0.35"/>
  <cols>
    <col min="1" max="1" width="26.453125" style="1" customWidth="1"/>
    <col min="2" max="3" width="24.453125" style="1" customWidth="1"/>
    <col min="4" max="4" width="28.81640625" style="1" customWidth="1"/>
    <col min="5" max="5" width="24.453125" style="1" customWidth="1"/>
    <col min="6" max="6" width="16" style="2" bestFit="1" customWidth="1"/>
    <col min="7" max="7" width="26.54296875" style="2" customWidth="1"/>
    <col min="8" max="8" width="18.54296875" style="2" bestFit="1" customWidth="1"/>
    <col min="9" max="258" width="9.1796875" style="2"/>
    <col min="259" max="259" width="35.54296875" style="2" customWidth="1"/>
    <col min="260" max="260" width="25.453125" style="2" customWidth="1"/>
    <col min="261" max="261" width="22.54296875" style="2" customWidth="1"/>
    <col min="262" max="262" width="26.1796875" style="2" customWidth="1"/>
    <col min="263" max="514" width="9.1796875" style="2"/>
    <col min="515" max="515" width="35.54296875" style="2" customWidth="1"/>
    <col min="516" max="516" width="25.453125" style="2" customWidth="1"/>
    <col min="517" max="517" width="22.54296875" style="2" customWidth="1"/>
    <col min="518" max="518" width="26.1796875" style="2" customWidth="1"/>
    <col min="519" max="770" width="9.1796875" style="2"/>
    <col min="771" max="771" width="35.54296875" style="2" customWidth="1"/>
    <col min="772" max="772" width="25.453125" style="2" customWidth="1"/>
    <col min="773" max="773" width="22.54296875" style="2" customWidth="1"/>
    <col min="774" max="774" width="26.1796875" style="2" customWidth="1"/>
    <col min="775" max="1026" width="9.1796875" style="2"/>
    <col min="1027" max="1027" width="35.54296875" style="2" customWidth="1"/>
    <col min="1028" max="1028" width="25.453125" style="2" customWidth="1"/>
    <col min="1029" max="1029" width="22.54296875" style="2" customWidth="1"/>
    <col min="1030" max="1030" width="26.1796875" style="2" customWidth="1"/>
    <col min="1031" max="1282" width="9.1796875" style="2"/>
    <col min="1283" max="1283" width="35.54296875" style="2" customWidth="1"/>
    <col min="1284" max="1284" width="25.453125" style="2" customWidth="1"/>
    <col min="1285" max="1285" width="22.54296875" style="2" customWidth="1"/>
    <col min="1286" max="1286" width="26.1796875" style="2" customWidth="1"/>
    <col min="1287" max="1538" width="9.1796875" style="2"/>
    <col min="1539" max="1539" width="35.54296875" style="2" customWidth="1"/>
    <col min="1540" max="1540" width="25.453125" style="2" customWidth="1"/>
    <col min="1541" max="1541" width="22.54296875" style="2" customWidth="1"/>
    <col min="1542" max="1542" width="26.1796875" style="2" customWidth="1"/>
    <col min="1543" max="1794" width="9.1796875" style="2"/>
    <col min="1795" max="1795" width="35.54296875" style="2" customWidth="1"/>
    <col min="1796" max="1796" width="25.453125" style="2" customWidth="1"/>
    <col min="1797" max="1797" width="22.54296875" style="2" customWidth="1"/>
    <col min="1798" max="1798" width="26.1796875" style="2" customWidth="1"/>
    <col min="1799" max="2050" width="9.1796875" style="2"/>
    <col min="2051" max="2051" width="35.54296875" style="2" customWidth="1"/>
    <col min="2052" max="2052" width="25.453125" style="2" customWidth="1"/>
    <col min="2053" max="2053" width="22.54296875" style="2" customWidth="1"/>
    <col min="2054" max="2054" width="26.1796875" style="2" customWidth="1"/>
    <col min="2055" max="2306" width="9.1796875" style="2"/>
    <col min="2307" max="2307" width="35.54296875" style="2" customWidth="1"/>
    <col min="2308" max="2308" width="25.453125" style="2" customWidth="1"/>
    <col min="2309" max="2309" width="22.54296875" style="2" customWidth="1"/>
    <col min="2310" max="2310" width="26.1796875" style="2" customWidth="1"/>
    <col min="2311" max="2562" width="9.1796875" style="2"/>
    <col min="2563" max="2563" width="35.54296875" style="2" customWidth="1"/>
    <col min="2564" max="2564" width="25.453125" style="2" customWidth="1"/>
    <col min="2565" max="2565" width="22.54296875" style="2" customWidth="1"/>
    <col min="2566" max="2566" width="26.1796875" style="2" customWidth="1"/>
    <col min="2567" max="2818" width="9.1796875" style="2"/>
    <col min="2819" max="2819" width="35.54296875" style="2" customWidth="1"/>
    <col min="2820" max="2820" width="25.453125" style="2" customWidth="1"/>
    <col min="2821" max="2821" width="22.54296875" style="2" customWidth="1"/>
    <col min="2822" max="2822" width="26.1796875" style="2" customWidth="1"/>
    <col min="2823" max="3074" width="9.1796875" style="2"/>
    <col min="3075" max="3075" width="35.54296875" style="2" customWidth="1"/>
    <col min="3076" max="3076" width="25.453125" style="2" customWidth="1"/>
    <col min="3077" max="3077" width="22.54296875" style="2" customWidth="1"/>
    <col min="3078" max="3078" width="26.1796875" style="2" customWidth="1"/>
    <col min="3079" max="3330" width="9.1796875" style="2"/>
    <col min="3331" max="3331" width="35.54296875" style="2" customWidth="1"/>
    <col min="3332" max="3332" width="25.453125" style="2" customWidth="1"/>
    <col min="3333" max="3333" width="22.54296875" style="2" customWidth="1"/>
    <col min="3334" max="3334" width="26.1796875" style="2" customWidth="1"/>
    <col min="3335" max="3586" width="9.1796875" style="2"/>
    <col min="3587" max="3587" width="35.54296875" style="2" customWidth="1"/>
    <col min="3588" max="3588" width="25.453125" style="2" customWidth="1"/>
    <col min="3589" max="3589" width="22.54296875" style="2" customWidth="1"/>
    <col min="3590" max="3590" width="26.1796875" style="2" customWidth="1"/>
    <col min="3591" max="3842" width="9.1796875" style="2"/>
    <col min="3843" max="3843" width="35.54296875" style="2" customWidth="1"/>
    <col min="3844" max="3844" width="25.453125" style="2" customWidth="1"/>
    <col min="3845" max="3845" width="22.54296875" style="2" customWidth="1"/>
    <col min="3846" max="3846" width="26.1796875" style="2" customWidth="1"/>
    <col min="3847" max="4098" width="9.1796875" style="2"/>
    <col min="4099" max="4099" width="35.54296875" style="2" customWidth="1"/>
    <col min="4100" max="4100" width="25.453125" style="2" customWidth="1"/>
    <col min="4101" max="4101" width="22.54296875" style="2" customWidth="1"/>
    <col min="4102" max="4102" width="26.1796875" style="2" customWidth="1"/>
    <col min="4103" max="4354" width="9.1796875" style="2"/>
    <col min="4355" max="4355" width="35.54296875" style="2" customWidth="1"/>
    <col min="4356" max="4356" width="25.453125" style="2" customWidth="1"/>
    <col min="4357" max="4357" width="22.54296875" style="2" customWidth="1"/>
    <col min="4358" max="4358" width="26.1796875" style="2" customWidth="1"/>
    <col min="4359" max="4610" width="9.1796875" style="2"/>
    <col min="4611" max="4611" width="35.54296875" style="2" customWidth="1"/>
    <col min="4612" max="4612" width="25.453125" style="2" customWidth="1"/>
    <col min="4613" max="4613" width="22.54296875" style="2" customWidth="1"/>
    <col min="4614" max="4614" width="26.1796875" style="2" customWidth="1"/>
    <col min="4615" max="4866" width="9.1796875" style="2"/>
    <col min="4867" max="4867" width="35.54296875" style="2" customWidth="1"/>
    <col min="4868" max="4868" width="25.453125" style="2" customWidth="1"/>
    <col min="4869" max="4869" width="22.54296875" style="2" customWidth="1"/>
    <col min="4870" max="4870" width="26.1796875" style="2" customWidth="1"/>
    <col min="4871" max="5122" width="9.1796875" style="2"/>
    <col min="5123" max="5123" width="35.54296875" style="2" customWidth="1"/>
    <col min="5124" max="5124" width="25.453125" style="2" customWidth="1"/>
    <col min="5125" max="5125" width="22.54296875" style="2" customWidth="1"/>
    <col min="5126" max="5126" width="26.1796875" style="2" customWidth="1"/>
    <col min="5127" max="5378" width="9.1796875" style="2"/>
    <col min="5379" max="5379" width="35.54296875" style="2" customWidth="1"/>
    <col min="5380" max="5380" width="25.453125" style="2" customWidth="1"/>
    <col min="5381" max="5381" width="22.54296875" style="2" customWidth="1"/>
    <col min="5382" max="5382" width="26.1796875" style="2" customWidth="1"/>
    <col min="5383" max="5634" width="9.1796875" style="2"/>
    <col min="5635" max="5635" width="35.54296875" style="2" customWidth="1"/>
    <col min="5636" max="5636" width="25.453125" style="2" customWidth="1"/>
    <col min="5637" max="5637" width="22.54296875" style="2" customWidth="1"/>
    <col min="5638" max="5638" width="26.1796875" style="2" customWidth="1"/>
    <col min="5639" max="5890" width="9.1796875" style="2"/>
    <col min="5891" max="5891" width="35.54296875" style="2" customWidth="1"/>
    <col min="5892" max="5892" width="25.453125" style="2" customWidth="1"/>
    <col min="5893" max="5893" width="22.54296875" style="2" customWidth="1"/>
    <col min="5894" max="5894" width="26.1796875" style="2" customWidth="1"/>
    <col min="5895" max="6146" width="9.1796875" style="2"/>
    <col min="6147" max="6147" width="35.54296875" style="2" customWidth="1"/>
    <col min="6148" max="6148" width="25.453125" style="2" customWidth="1"/>
    <col min="6149" max="6149" width="22.54296875" style="2" customWidth="1"/>
    <col min="6150" max="6150" width="26.1796875" style="2" customWidth="1"/>
    <col min="6151" max="6402" width="9.1796875" style="2"/>
    <col min="6403" max="6403" width="35.54296875" style="2" customWidth="1"/>
    <col min="6404" max="6404" width="25.453125" style="2" customWidth="1"/>
    <col min="6405" max="6405" width="22.54296875" style="2" customWidth="1"/>
    <col min="6406" max="6406" width="26.1796875" style="2" customWidth="1"/>
    <col min="6407" max="6658" width="9.1796875" style="2"/>
    <col min="6659" max="6659" width="35.54296875" style="2" customWidth="1"/>
    <col min="6660" max="6660" width="25.453125" style="2" customWidth="1"/>
    <col min="6661" max="6661" width="22.54296875" style="2" customWidth="1"/>
    <col min="6662" max="6662" width="26.1796875" style="2" customWidth="1"/>
    <col min="6663" max="6914" width="9.1796875" style="2"/>
    <col min="6915" max="6915" width="35.54296875" style="2" customWidth="1"/>
    <col min="6916" max="6916" width="25.453125" style="2" customWidth="1"/>
    <col min="6917" max="6917" width="22.54296875" style="2" customWidth="1"/>
    <col min="6918" max="6918" width="26.1796875" style="2" customWidth="1"/>
    <col min="6919" max="7170" width="9.1796875" style="2"/>
    <col min="7171" max="7171" width="35.54296875" style="2" customWidth="1"/>
    <col min="7172" max="7172" width="25.453125" style="2" customWidth="1"/>
    <col min="7173" max="7173" width="22.54296875" style="2" customWidth="1"/>
    <col min="7174" max="7174" width="26.1796875" style="2" customWidth="1"/>
    <col min="7175" max="7426" width="9.1796875" style="2"/>
    <col min="7427" max="7427" width="35.54296875" style="2" customWidth="1"/>
    <col min="7428" max="7428" width="25.453125" style="2" customWidth="1"/>
    <col min="7429" max="7429" width="22.54296875" style="2" customWidth="1"/>
    <col min="7430" max="7430" width="26.1796875" style="2" customWidth="1"/>
    <col min="7431" max="7682" width="9.1796875" style="2"/>
    <col min="7683" max="7683" width="35.54296875" style="2" customWidth="1"/>
    <col min="7684" max="7684" width="25.453125" style="2" customWidth="1"/>
    <col min="7685" max="7685" width="22.54296875" style="2" customWidth="1"/>
    <col min="7686" max="7686" width="26.1796875" style="2" customWidth="1"/>
    <col min="7687" max="7938" width="9.1796875" style="2"/>
    <col min="7939" max="7939" width="35.54296875" style="2" customWidth="1"/>
    <col min="7940" max="7940" width="25.453125" style="2" customWidth="1"/>
    <col min="7941" max="7941" width="22.54296875" style="2" customWidth="1"/>
    <col min="7942" max="7942" width="26.1796875" style="2" customWidth="1"/>
    <col min="7943" max="8194" width="9.1796875" style="2"/>
    <col min="8195" max="8195" width="35.54296875" style="2" customWidth="1"/>
    <col min="8196" max="8196" width="25.453125" style="2" customWidth="1"/>
    <col min="8197" max="8197" width="22.54296875" style="2" customWidth="1"/>
    <col min="8198" max="8198" width="26.1796875" style="2" customWidth="1"/>
    <col min="8199" max="8450" width="9.1796875" style="2"/>
    <col min="8451" max="8451" width="35.54296875" style="2" customWidth="1"/>
    <col min="8452" max="8452" width="25.453125" style="2" customWidth="1"/>
    <col min="8453" max="8453" width="22.54296875" style="2" customWidth="1"/>
    <col min="8454" max="8454" width="26.1796875" style="2" customWidth="1"/>
    <col min="8455" max="8706" width="9.1796875" style="2"/>
    <col min="8707" max="8707" width="35.54296875" style="2" customWidth="1"/>
    <col min="8708" max="8708" width="25.453125" style="2" customWidth="1"/>
    <col min="8709" max="8709" width="22.54296875" style="2" customWidth="1"/>
    <col min="8710" max="8710" width="26.1796875" style="2" customWidth="1"/>
    <col min="8711" max="8962" width="9.1796875" style="2"/>
    <col min="8963" max="8963" width="35.54296875" style="2" customWidth="1"/>
    <col min="8964" max="8964" width="25.453125" style="2" customWidth="1"/>
    <col min="8965" max="8965" width="22.54296875" style="2" customWidth="1"/>
    <col min="8966" max="8966" width="26.1796875" style="2" customWidth="1"/>
    <col min="8967" max="9218" width="9.1796875" style="2"/>
    <col min="9219" max="9219" width="35.54296875" style="2" customWidth="1"/>
    <col min="9220" max="9220" width="25.453125" style="2" customWidth="1"/>
    <col min="9221" max="9221" width="22.54296875" style="2" customWidth="1"/>
    <col min="9222" max="9222" width="26.1796875" style="2" customWidth="1"/>
    <col min="9223" max="9474" width="9.1796875" style="2"/>
    <col min="9475" max="9475" width="35.54296875" style="2" customWidth="1"/>
    <col min="9476" max="9476" width="25.453125" style="2" customWidth="1"/>
    <col min="9477" max="9477" width="22.54296875" style="2" customWidth="1"/>
    <col min="9478" max="9478" width="26.1796875" style="2" customWidth="1"/>
    <col min="9479" max="9730" width="9.1796875" style="2"/>
    <col min="9731" max="9731" width="35.54296875" style="2" customWidth="1"/>
    <col min="9732" max="9732" width="25.453125" style="2" customWidth="1"/>
    <col min="9733" max="9733" width="22.54296875" style="2" customWidth="1"/>
    <col min="9734" max="9734" width="26.1796875" style="2" customWidth="1"/>
    <col min="9735" max="9986" width="9.1796875" style="2"/>
    <col min="9987" max="9987" width="35.54296875" style="2" customWidth="1"/>
    <col min="9988" max="9988" width="25.453125" style="2" customWidth="1"/>
    <col min="9989" max="9989" width="22.54296875" style="2" customWidth="1"/>
    <col min="9990" max="9990" width="26.1796875" style="2" customWidth="1"/>
    <col min="9991" max="10242" width="9.1796875" style="2"/>
    <col min="10243" max="10243" width="35.54296875" style="2" customWidth="1"/>
    <col min="10244" max="10244" width="25.453125" style="2" customWidth="1"/>
    <col min="10245" max="10245" width="22.54296875" style="2" customWidth="1"/>
    <col min="10246" max="10246" width="26.1796875" style="2" customWidth="1"/>
    <col min="10247" max="10498" width="9.1796875" style="2"/>
    <col min="10499" max="10499" width="35.54296875" style="2" customWidth="1"/>
    <col min="10500" max="10500" width="25.453125" style="2" customWidth="1"/>
    <col min="10501" max="10501" width="22.54296875" style="2" customWidth="1"/>
    <col min="10502" max="10502" width="26.1796875" style="2" customWidth="1"/>
    <col min="10503" max="10754" width="9.1796875" style="2"/>
    <col min="10755" max="10755" width="35.54296875" style="2" customWidth="1"/>
    <col min="10756" max="10756" width="25.453125" style="2" customWidth="1"/>
    <col min="10757" max="10757" width="22.54296875" style="2" customWidth="1"/>
    <col min="10758" max="10758" width="26.1796875" style="2" customWidth="1"/>
    <col min="10759" max="11010" width="9.1796875" style="2"/>
    <col min="11011" max="11011" width="35.54296875" style="2" customWidth="1"/>
    <col min="11012" max="11012" width="25.453125" style="2" customWidth="1"/>
    <col min="11013" max="11013" width="22.54296875" style="2" customWidth="1"/>
    <col min="11014" max="11014" width="26.1796875" style="2" customWidth="1"/>
    <col min="11015" max="11266" width="9.1796875" style="2"/>
    <col min="11267" max="11267" width="35.54296875" style="2" customWidth="1"/>
    <col min="11268" max="11268" width="25.453125" style="2" customWidth="1"/>
    <col min="11269" max="11269" width="22.54296875" style="2" customWidth="1"/>
    <col min="11270" max="11270" width="26.1796875" style="2" customWidth="1"/>
    <col min="11271" max="11522" width="9.1796875" style="2"/>
    <col min="11523" max="11523" width="35.54296875" style="2" customWidth="1"/>
    <col min="11524" max="11524" width="25.453125" style="2" customWidth="1"/>
    <col min="11525" max="11525" width="22.54296875" style="2" customWidth="1"/>
    <col min="11526" max="11526" width="26.1796875" style="2" customWidth="1"/>
    <col min="11527" max="11778" width="9.1796875" style="2"/>
    <col min="11779" max="11779" width="35.54296875" style="2" customWidth="1"/>
    <col min="11780" max="11780" width="25.453125" style="2" customWidth="1"/>
    <col min="11781" max="11781" width="22.54296875" style="2" customWidth="1"/>
    <col min="11782" max="11782" width="26.1796875" style="2" customWidth="1"/>
    <col min="11783" max="12034" width="9.1796875" style="2"/>
    <col min="12035" max="12035" width="35.54296875" style="2" customWidth="1"/>
    <col min="12036" max="12036" width="25.453125" style="2" customWidth="1"/>
    <col min="12037" max="12037" width="22.54296875" style="2" customWidth="1"/>
    <col min="12038" max="12038" width="26.1796875" style="2" customWidth="1"/>
    <col min="12039" max="12290" width="9.1796875" style="2"/>
    <col min="12291" max="12291" width="35.54296875" style="2" customWidth="1"/>
    <col min="12292" max="12292" width="25.453125" style="2" customWidth="1"/>
    <col min="12293" max="12293" width="22.54296875" style="2" customWidth="1"/>
    <col min="12294" max="12294" width="26.1796875" style="2" customWidth="1"/>
    <col min="12295" max="12546" width="9.1796875" style="2"/>
    <col min="12547" max="12547" width="35.54296875" style="2" customWidth="1"/>
    <col min="12548" max="12548" width="25.453125" style="2" customWidth="1"/>
    <col min="12549" max="12549" width="22.54296875" style="2" customWidth="1"/>
    <col min="12550" max="12550" width="26.1796875" style="2" customWidth="1"/>
    <col min="12551" max="12802" width="9.1796875" style="2"/>
    <col min="12803" max="12803" width="35.54296875" style="2" customWidth="1"/>
    <col min="12804" max="12804" width="25.453125" style="2" customWidth="1"/>
    <col min="12805" max="12805" width="22.54296875" style="2" customWidth="1"/>
    <col min="12806" max="12806" width="26.1796875" style="2" customWidth="1"/>
    <col min="12807" max="13058" width="9.1796875" style="2"/>
    <col min="13059" max="13059" width="35.54296875" style="2" customWidth="1"/>
    <col min="13060" max="13060" width="25.453125" style="2" customWidth="1"/>
    <col min="13061" max="13061" width="22.54296875" style="2" customWidth="1"/>
    <col min="13062" max="13062" width="26.1796875" style="2" customWidth="1"/>
    <col min="13063" max="13314" width="9.1796875" style="2"/>
    <col min="13315" max="13315" width="35.54296875" style="2" customWidth="1"/>
    <col min="13316" max="13316" width="25.453125" style="2" customWidth="1"/>
    <col min="13317" max="13317" width="22.54296875" style="2" customWidth="1"/>
    <col min="13318" max="13318" width="26.1796875" style="2" customWidth="1"/>
    <col min="13319" max="13570" width="9.1796875" style="2"/>
    <col min="13571" max="13571" width="35.54296875" style="2" customWidth="1"/>
    <col min="13572" max="13572" width="25.453125" style="2" customWidth="1"/>
    <col min="13573" max="13573" width="22.54296875" style="2" customWidth="1"/>
    <col min="13574" max="13574" width="26.1796875" style="2" customWidth="1"/>
    <col min="13575" max="13826" width="9.1796875" style="2"/>
    <col min="13827" max="13827" width="35.54296875" style="2" customWidth="1"/>
    <col min="13828" max="13828" width="25.453125" style="2" customWidth="1"/>
    <col min="13829" max="13829" width="22.54296875" style="2" customWidth="1"/>
    <col min="13830" max="13830" width="26.1796875" style="2" customWidth="1"/>
    <col min="13831" max="14082" width="9.1796875" style="2"/>
    <col min="14083" max="14083" width="35.54296875" style="2" customWidth="1"/>
    <col min="14084" max="14084" width="25.453125" style="2" customWidth="1"/>
    <col min="14085" max="14085" width="22.54296875" style="2" customWidth="1"/>
    <col min="14086" max="14086" width="26.1796875" style="2" customWidth="1"/>
    <col min="14087" max="14338" width="9.1796875" style="2"/>
    <col min="14339" max="14339" width="35.54296875" style="2" customWidth="1"/>
    <col min="14340" max="14340" width="25.453125" style="2" customWidth="1"/>
    <col min="14341" max="14341" width="22.54296875" style="2" customWidth="1"/>
    <col min="14342" max="14342" width="26.1796875" style="2" customWidth="1"/>
    <col min="14343" max="14594" width="9.1796875" style="2"/>
    <col min="14595" max="14595" width="35.54296875" style="2" customWidth="1"/>
    <col min="14596" max="14596" width="25.453125" style="2" customWidth="1"/>
    <col min="14597" max="14597" width="22.54296875" style="2" customWidth="1"/>
    <col min="14598" max="14598" width="26.1796875" style="2" customWidth="1"/>
    <col min="14599" max="14850" width="9.1796875" style="2"/>
    <col min="14851" max="14851" width="35.54296875" style="2" customWidth="1"/>
    <col min="14852" max="14852" width="25.453125" style="2" customWidth="1"/>
    <col min="14853" max="14853" width="22.54296875" style="2" customWidth="1"/>
    <col min="14854" max="14854" width="26.1796875" style="2" customWidth="1"/>
    <col min="14855" max="15106" width="9.1796875" style="2"/>
    <col min="15107" max="15107" width="35.54296875" style="2" customWidth="1"/>
    <col min="15108" max="15108" width="25.453125" style="2" customWidth="1"/>
    <col min="15109" max="15109" width="22.54296875" style="2" customWidth="1"/>
    <col min="15110" max="15110" width="26.1796875" style="2" customWidth="1"/>
    <col min="15111" max="15362" width="9.1796875" style="2"/>
    <col min="15363" max="15363" width="35.54296875" style="2" customWidth="1"/>
    <col min="15364" max="15364" width="25.453125" style="2" customWidth="1"/>
    <col min="15365" max="15365" width="22.54296875" style="2" customWidth="1"/>
    <col min="15366" max="15366" width="26.1796875" style="2" customWidth="1"/>
    <col min="15367" max="15618" width="9.1796875" style="2"/>
    <col min="15619" max="15619" width="35.54296875" style="2" customWidth="1"/>
    <col min="15620" max="15620" width="25.453125" style="2" customWidth="1"/>
    <col min="15621" max="15621" width="22.54296875" style="2" customWidth="1"/>
    <col min="15622" max="15622" width="26.1796875" style="2" customWidth="1"/>
    <col min="15623" max="15874" width="9.1796875" style="2"/>
    <col min="15875" max="15875" width="35.54296875" style="2" customWidth="1"/>
    <col min="15876" max="15876" width="25.453125" style="2" customWidth="1"/>
    <col min="15877" max="15877" width="22.54296875" style="2" customWidth="1"/>
    <col min="15878" max="15878" width="26.1796875" style="2" customWidth="1"/>
    <col min="15879" max="16130" width="9.1796875" style="2"/>
    <col min="16131" max="16131" width="35.54296875" style="2" customWidth="1"/>
    <col min="16132" max="16132" width="25.453125" style="2" customWidth="1"/>
    <col min="16133" max="16133" width="22.54296875" style="2" customWidth="1"/>
    <col min="16134" max="16134" width="26.1796875" style="2" customWidth="1"/>
    <col min="16135" max="16384" width="9.1796875" style="2"/>
  </cols>
  <sheetData>
    <row r="1" spans="1:8" x14ac:dyDescent="0.35">
      <c r="G1" s="47">
        <v>46203</v>
      </c>
      <c r="H1" s="48" t="str">
        <f>TEXT(G1,"dd mmmm yyyy")</f>
        <v>30 June 2026</v>
      </c>
    </row>
    <row r="2" spans="1:8" x14ac:dyDescent="0.35">
      <c r="A2" s="16"/>
      <c r="B2" s="19"/>
      <c r="C2" s="16"/>
      <c r="D2" s="16"/>
      <c r="E2" s="16"/>
      <c r="G2" s="2" t="s">
        <v>146</v>
      </c>
    </row>
    <row r="3" spans="1:8" ht="15.75" customHeight="1" x14ac:dyDescent="0.35">
      <c r="A3" s="16"/>
      <c r="B3" s="73" t="s">
        <v>145</v>
      </c>
      <c r="C3" s="74"/>
      <c r="D3" s="74"/>
      <c r="E3" s="16"/>
    </row>
    <row r="4" spans="1:8" ht="15.75" customHeight="1" x14ac:dyDescent="0.35">
      <c r="A4" s="16"/>
      <c r="B4" s="74"/>
      <c r="C4" s="74"/>
      <c r="D4" s="74"/>
      <c r="E4" s="16"/>
      <c r="F4" s="13" t="s">
        <v>19</v>
      </c>
      <c r="G4" s="13" t="s">
        <v>117</v>
      </c>
    </row>
    <row r="5" spans="1:8" ht="15.75" customHeight="1" x14ac:dyDescent="0.35">
      <c r="A5" s="16"/>
      <c r="B5" s="74"/>
      <c r="C5" s="74"/>
      <c r="D5" s="74"/>
      <c r="E5" s="16"/>
      <c r="G5" s="2" t="s">
        <v>184</v>
      </c>
    </row>
    <row r="6" spans="1:8" ht="15.75" customHeight="1" x14ac:dyDescent="0.35">
      <c r="A6" s="16"/>
      <c r="B6" s="74"/>
      <c r="C6" s="74"/>
      <c r="D6" s="74"/>
      <c r="E6" s="16"/>
    </row>
    <row r="7" spans="1:8" x14ac:dyDescent="0.35">
      <c r="B7" s="74"/>
      <c r="C7" s="74"/>
      <c r="D7" s="74"/>
    </row>
    <row r="8" spans="1:8" x14ac:dyDescent="0.35">
      <c r="B8" s="16"/>
      <c r="C8" s="16"/>
      <c r="D8" s="16"/>
    </row>
    <row r="9" spans="1:8" x14ac:dyDescent="0.35">
      <c r="A9" s="66" t="s">
        <v>5</v>
      </c>
      <c r="B9" s="66"/>
      <c r="C9" s="66"/>
      <c r="D9" s="66"/>
      <c r="E9" s="66"/>
    </row>
    <row r="10" spans="1:8" x14ac:dyDescent="0.35">
      <c r="A10" s="67" t="e">
        <f>CONCATENATE("Class: ",Working!#REF!)</f>
        <v>#REF!</v>
      </c>
      <c r="B10" s="67"/>
      <c r="C10" s="67"/>
      <c r="D10" s="67"/>
      <c r="E10" s="67"/>
      <c r="G10" s="2" t="s">
        <v>173</v>
      </c>
    </row>
    <row r="11" spans="1:8" x14ac:dyDescent="0.35">
      <c r="A11" s="67" t="e">
        <f>CONCATENATE("Folio No.: ",Working!#REF!)</f>
        <v>#REF!</v>
      </c>
      <c r="B11" s="67"/>
      <c r="C11" s="67"/>
      <c r="D11" s="67"/>
      <c r="E11" s="67"/>
      <c r="G11" s="2" t="s">
        <v>174</v>
      </c>
    </row>
    <row r="13" spans="1:8" x14ac:dyDescent="0.35">
      <c r="A13" s="55" t="s">
        <v>140</v>
      </c>
      <c r="G13" s="2" t="s">
        <v>12</v>
      </c>
    </row>
    <row r="15" spans="1:8" x14ac:dyDescent="0.35">
      <c r="A15" s="1" t="s">
        <v>6</v>
      </c>
      <c r="G15" s="14"/>
    </row>
    <row r="16" spans="1:8" x14ac:dyDescent="0.35">
      <c r="A16" s="68" t="e">
        <f>Working!#REF!</f>
        <v>#REF!</v>
      </c>
      <c r="B16" s="68"/>
      <c r="G16" s="14" t="s">
        <v>175</v>
      </c>
    </row>
    <row r="17" spans="1:9" ht="32.15" customHeight="1" x14ac:dyDescent="0.35">
      <c r="A17" s="68" t="e">
        <f>Working!#REF!</f>
        <v>#REF!</v>
      </c>
      <c r="B17" s="68"/>
      <c r="C17" s="11"/>
      <c r="D17" s="11"/>
      <c r="E17" s="3"/>
      <c r="G17" s="2" t="s">
        <v>176</v>
      </c>
    </row>
    <row r="19" spans="1:9" x14ac:dyDescent="0.35">
      <c r="A19" s="69" t="s">
        <v>147</v>
      </c>
      <c r="B19" s="69"/>
      <c r="C19" s="69"/>
      <c r="D19" s="69"/>
      <c r="E19" s="69"/>
      <c r="G19" s="2" t="s">
        <v>13</v>
      </c>
    </row>
    <row r="21" spans="1:9" x14ac:dyDescent="0.35">
      <c r="A21" s="1" t="s">
        <v>75</v>
      </c>
    </row>
    <row r="23" spans="1:9" ht="15.75" customHeight="1" x14ac:dyDescent="0.35">
      <c r="A23" s="70" t="s">
        <v>124</v>
      </c>
      <c r="B23" s="70"/>
      <c r="C23" s="70"/>
      <c r="D23" s="70"/>
      <c r="E23" s="70"/>
    </row>
    <row r="24" spans="1:9" ht="33" customHeight="1" x14ac:dyDescent="0.35">
      <c r="A24" s="70"/>
      <c r="B24" s="70"/>
      <c r="C24" s="70"/>
      <c r="D24" s="70"/>
      <c r="E24" s="70"/>
    </row>
    <row r="25" spans="1:9" x14ac:dyDescent="0.35">
      <c r="A25" s="70" t="s">
        <v>7</v>
      </c>
      <c r="B25" s="70"/>
      <c r="C25" s="70"/>
      <c r="D25" s="70"/>
      <c r="E25" s="70"/>
    </row>
    <row r="27" spans="1:9" ht="64.5" customHeight="1" x14ac:dyDescent="0.35">
      <c r="A27" s="12" t="s">
        <v>148</v>
      </c>
      <c r="B27" s="12" t="s">
        <v>8</v>
      </c>
      <c r="C27" s="17" t="s">
        <v>141</v>
      </c>
      <c r="D27" s="17" t="s">
        <v>142</v>
      </c>
      <c r="E27" s="17" t="s">
        <v>123</v>
      </c>
      <c r="G27" s="1" t="s">
        <v>20</v>
      </c>
    </row>
    <row r="28" spans="1:9" ht="31" x14ac:dyDescent="0.35">
      <c r="A28" s="56" t="s">
        <v>177</v>
      </c>
      <c r="B28" s="56" t="s">
        <v>178</v>
      </c>
      <c r="C28" s="56" t="s">
        <v>179</v>
      </c>
      <c r="D28" s="56" t="s">
        <v>180</v>
      </c>
      <c r="E28" s="56" t="s">
        <v>181</v>
      </c>
      <c r="F28" s="10"/>
      <c r="G28" s="10" t="s">
        <v>182</v>
      </c>
      <c r="H28" s="15"/>
      <c r="I28" s="10"/>
    </row>
    <row r="30" spans="1:9" ht="49" customHeight="1" x14ac:dyDescent="0.35">
      <c r="A30" s="71" t="s">
        <v>150</v>
      </c>
      <c r="B30" s="71"/>
      <c r="C30" s="71"/>
      <c r="D30" s="71"/>
      <c r="E30" s="71"/>
      <c r="G30" s="2" t="s">
        <v>71</v>
      </c>
    </row>
    <row r="31" spans="1:9" ht="15.65" customHeight="1" x14ac:dyDescent="0.35">
      <c r="A31" s="72" t="str">
        <f>G2&amp;H1</f>
        <v>The payment towards capital contribution for the 15th drawdown is to be made in the bank account of XYZ FUND within 15 Business Days from the date of issue of this Drawdown Notice i.e. on or before 30 June 2026</v>
      </c>
      <c r="B31" s="72"/>
      <c r="C31" s="72"/>
      <c r="D31" s="72"/>
      <c r="E31" s="72"/>
      <c r="G31" s="2" t="s">
        <v>14</v>
      </c>
    </row>
    <row r="32" spans="1:9" x14ac:dyDescent="0.35">
      <c r="A32" s="72"/>
      <c r="B32" s="72"/>
      <c r="C32" s="72"/>
      <c r="D32" s="72"/>
      <c r="E32" s="72"/>
      <c r="F32" s="46"/>
    </row>
    <row r="34" spans="1:7" ht="19.5" customHeight="1" x14ac:dyDescent="0.35">
      <c r="A34" s="65" t="s">
        <v>88</v>
      </c>
      <c r="B34" s="65"/>
      <c r="C34" s="65"/>
      <c r="D34" s="65"/>
      <c r="E34" s="65"/>
    </row>
    <row r="36" spans="1:7" ht="31" x14ac:dyDescent="0.35">
      <c r="A36" s="4" t="s">
        <v>84</v>
      </c>
      <c r="B36" s="59" t="str">
        <f>D28</f>
        <v>Column 23 of working tab</v>
      </c>
      <c r="C36" s="6"/>
      <c r="D36" s="6"/>
      <c r="E36" s="6"/>
      <c r="G36" s="2" t="s">
        <v>15</v>
      </c>
    </row>
    <row r="37" spans="1:7" x14ac:dyDescent="0.35">
      <c r="A37" s="4" t="s">
        <v>9</v>
      </c>
      <c r="B37" s="7" t="s">
        <v>149</v>
      </c>
      <c r="C37" s="8"/>
      <c r="D37" s="8"/>
      <c r="E37" s="8"/>
    </row>
    <row r="38" spans="1:7" x14ac:dyDescent="0.35">
      <c r="A38" s="4" t="s">
        <v>73</v>
      </c>
      <c r="B38" s="7"/>
      <c r="C38" s="8"/>
      <c r="D38" s="8"/>
      <c r="E38" s="8"/>
    </row>
    <row r="39" spans="1:7" x14ac:dyDescent="0.35">
      <c r="A39" s="4" t="s">
        <v>25</v>
      </c>
      <c r="B39" s="7"/>
      <c r="C39" s="8"/>
      <c r="D39" s="8"/>
      <c r="E39" s="8"/>
    </row>
    <row r="40" spans="1:7" x14ac:dyDescent="0.35">
      <c r="A40" s="4" t="s">
        <v>11</v>
      </c>
      <c r="B40" s="7"/>
      <c r="C40" s="8"/>
      <c r="D40" s="8"/>
      <c r="E40" s="8"/>
    </row>
    <row r="41" spans="1:7" x14ac:dyDescent="0.35">
      <c r="A41" s="4" t="s">
        <v>10</v>
      </c>
      <c r="B41" s="7"/>
      <c r="C41" s="8"/>
      <c r="D41" s="8"/>
      <c r="E41" s="8"/>
    </row>
    <row r="42" spans="1:7" x14ac:dyDescent="0.35">
      <c r="A42" s="4" t="s">
        <v>82</v>
      </c>
      <c r="B42" s="7"/>
      <c r="C42" s="8"/>
      <c r="D42" s="8"/>
      <c r="E42" s="8"/>
    </row>
    <row r="43" spans="1:7" x14ac:dyDescent="0.35">
      <c r="B43" s="8"/>
      <c r="C43" s="8"/>
      <c r="D43" s="8"/>
      <c r="E43" s="8"/>
    </row>
    <row r="44" spans="1:7" ht="15.65" customHeight="1" x14ac:dyDescent="0.35">
      <c r="A44" s="70" t="s">
        <v>85</v>
      </c>
      <c r="B44" s="70"/>
      <c r="C44" s="70"/>
      <c r="D44" s="70"/>
      <c r="E44" s="70"/>
    </row>
    <row r="45" spans="1:7" x14ac:dyDescent="0.35">
      <c r="A45" s="70"/>
      <c r="B45" s="70"/>
      <c r="C45" s="70"/>
      <c r="D45" s="70"/>
      <c r="E45" s="70"/>
    </row>
    <row r="46" spans="1:7" x14ac:dyDescent="0.35">
      <c r="A46" s="9"/>
      <c r="B46" s="9"/>
      <c r="C46" s="9"/>
      <c r="D46" s="9"/>
      <c r="E46" s="9"/>
    </row>
    <row r="47" spans="1:7" x14ac:dyDescent="0.35">
      <c r="A47" s="9"/>
      <c r="B47" s="9"/>
      <c r="C47" s="9"/>
      <c r="D47" s="9"/>
      <c r="E47" s="9"/>
    </row>
    <row r="48" spans="1:7" x14ac:dyDescent="0.35">
      <c r="A48" s="9"/>
      <c r="B48" s="77" t="str">
        <f>B3</f>
        <v>CLIENT NAME AND ADDRESS</v>
      </c>
      <c r="C48" s="77"/>
      <c r="D48" s="77"/>
      <c r="E48" s="9"/>
    </row>
    <row r="49" spans="1:7" x14ac:dyDescent="0.35">
      <c r="A49" s="9"/>
      <c r="B49" s="77"/>
      <c r="C49" s="77"/>
      <c r="D49" s="77"/>
      <c r="E49" s="9"/>
    </row>
    <row r="50" spans="1:7" ht="35.5" customHeight="1" x14ac:dyDescent="0.35">
      <c r="A50" s="9"/>
      <c r="B50" s="77"/>
      <c r="C50" s="77"/>
      <c r="D50" s="77"/>
      <c r="E50" s="9"/>
      <c r="G50" s="2" t="s">
        <v>184</v>
      </c>
    </row>
    <row r="51" spans="1:7" x14ac:dyDescent="0.35">
      <c r="A51" s="9"/>
      <c r="B51" s="9"/>
      <c r="C51" s="9"/>
      <c r="D51" s="9"/>
      <c r="E51" s="9"/>
    </row>
    <row r="52" spans="1:7" x14ac:dyDescent="0.35">
      <c r="A52" s="9"/>
      <c r="B52" s="9"/>
      <c r="C52" s="9"/>
      <c r="D52" s="9"/>
      <c r="E52" s="9"/>
    </row>
    <row r="53" spans="1:7" x14ac:dyDescent="0.35">
      <c r="A53" s="9"/>
      <c r="B53" s="9"/>
      <c r="C53" s="9"/>
      <c r="D53" s="9"/>
      <c r="E53" s="9"/>
    </row>
    <row r="54" spans="1:7" ht="31.5" customHeight="1" x14ac:dyDescent="0.35">
      <c r="A54" s="68" t="s">
        <v>153</v>
      </c>
      <c r="B54" s="68"/>
      <c r="C54" s="68"/>
      <c r="D54" s="68"/>
      <c r="E54" s="68"/>
      <c r="G54" s="2" t="s">
        <v>183</v>
      </c>
    </row>
    <row r="55" spans="1:7" x14ac:dyDescent="0.35">
      <c r="A55" s="76" t="s">
        <v>76</v>
      </c>
      <c r="B55" s="76"/>
      <c r="C55" s="9"/>
      <c r="D55" s="9"/>
      <c r="E55" s="9"/>
    </row>
    <row r="56" spans="1:7" x14ac:dyDescent="0.35">
      <c r="A56" s="18" t="s">
        <v>77</v>
      </c>
      <c r="B56" s="9"/>
      <c r="C56" s="9"/>
      <c r="D56" s="9"/>
      <c r="E56" s="9"/>
    </row>
    <row r="57" spans="1:7" x14ac:dyDescent="0.35">
      <c r="A57" s="18" t="s">
        <v>78</v>
      </c>
      <c r="B57" s="9"/>
      <c r="C57" s="9"/>
      <c r="D57" s="9"/>
      <c r="E57" s="9"/>
    </row>
    <row r="58" spans="1:7" x14ac:dyDescent="0.35">
      <c r="A58" s="18" t="s">
        <v>79</v>
      </c>
      <c r="B58" s="9"/>
      <c r="C58" s="9"/>
      <c r="D58" s="9"/>
      <c r="E58" s="9"/>
    </row>
    <row r="59" spans="1:7" x14ac:dyDescent="0.35">
      <c r="A59" s="9"/>
      <c r="B59" s="9"/>
      <c r="C59" s="9"/>
      <c r="D59" s="9"/>
      <c r="E59" s="9"/>
    </row>
    <row r="60" spans="1:7" ht="15.65" customHeight="1" x14ac:dyDescent="0.35">
      <c r="A60" s="20" t="s">
        <v>80</v>
      </c>
      <c r="B60" s="16"/>
      <c r="C60" s="16"/>
      <c r="D60" s="16"/>
      <c r="E60" s="16"/>
    </row>
    <row r="61" spans="1:7" x14ac:dyDescent="0.35">
      <c r="A61" s="16"/>
      <c r="B61" s="16"/>
      <c r="C61" s="16"/>
      <c r="D61" s="16"/>
      <c r="E61" s="16"/>
    </row>
    <row r="62" spans="1:7" x14ac:dyDescent="0.35">
      <c r="A62" s="1" t="s">
        <v>72</v>
      </c>
      <c r="C62" s="9"/>
      <c r="D62" s="9"/>
      <c r="E62" s="9"/>
    </row>
    <row r="63" spans="1:7" ht="32.5" customHeight="1" x14ac:dyDescent="0.35">
      <c r="A63" s="75" t="s">
        <v>152</v>
      </c>
      <c r="B63" s="75"/>
    </row>
    <row r="64" spans="1:7" ht="10.5" customHeight="1" x14ac:dyDescent="0.35">
      <c r="C64" s="9"/>
      <c r="D64" s="9"/>
      <c r="E64" s="9"/>
    </row>
    <row r="65" spans="1:5" ht="10.5" customHeight="1" x14ac:dyDescent="0.35"/>
    <row r="66" spans="1:5" ht="15.65" customHeight="1" x14ac:dyDescent="0.35">
      <c r="A66" s="65" t="s">
        <v>151</v>
      </c>
      <c r="B66" s="65"/>
      <c r="C66" s="9"/>
      <c r="D66" s="9"/>
      <c r="E66" s="9"/>
    </row>
    <row r="67" spans="1:5" ht="36" customHeight="1" x14ac:dyDescent="0.35">
      <c r="A67" s="65"/>
      <c r="B67" s="65"/>
      <c r="C67" s="9"/>
      <c r="D67" s="9"/>
      <c r="E67" s="9"/>
    </row>
  </sheetData>
  <mergeCells count="18">
    <mergeCell ref="B3:D7"/>
    <mergeCell ref="A44:E45"/>
    <mergeCell ref="A63:B63"/>
    <mergeCell ref="A54:E54"/>
    <mergeCell ref="A55:B55"/>
    <mergeCell ref="B48:D50"/>
    <mergeCell ref="A66:B67"/>
    <mergeCell ref="A9:E9"/>
    <mergeCell ref="A34:E34"/>
    <mergeCell ref="A10:E10"/>
    <mergeCell ref="A11:E11"/>
    <mergeCell ref="A16:B16"/>
    <mergeCell ref="A17:B17"/>
    <mergeCell ref="A19:E19"/>
    <mergeCell ref="A23:E24"/>
    <mergeCell ref="A25:E25"/>
    <mergeCell ref="A30:E30"/>
    <mergeCell ref="A31:E32"/>
  </mergeCells>
  <printOptions horizontalCentered="1"/>
  <pageMargins left="0.19685039370078741" right="0.19685039370078741" top="0" bottom="0" header="0" footer="0"/>
  <pageSetup paperSize="9" scale="78" fitToHeight="0" orientation="portrait" r:id="rId1"/>
  <headerFooter scaleWithDoc="0"/>
  <rowBreaks count="1" manualBreakCount="1">
    <brk id="46" max="4" man="1"/>
  </rowBreaks>
  <extLst>
    <ext xmlns:x14="http://schemas.microsoft.com/office/spreadsheetml/2009/9/main" uri="{CCE6A557-97BC-4b89-ADB6-D9C93CAAB3DF}">
      <x14:dataValidations xmlns:xm="http://schemas.microsoft.com/office/excel/2006/main" count="1">
        <x14:dataValidation type="list" allowBlank="1" showInputMessage="1" showErrorMessage="1" xr:uid="{63193573-205A-4D75-807E-1F07A78E9D49}">
          <x14:formula1>
            <xm:f>Working!$A$3:$A$61</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04FF0-C69C-4491-825C-2F47CDFA0791}">
  <sheetPr>
    <pageSetUpPr fitToPage="1"/>
  </sheetPr>
  <dimension ref="A2:F67"/>
  <sheetViews>
    <sheetView showGridLines="0" view="pageBreakPreview" zoomScale="90" zoomScaleNormal="100" zoomScaleSheetLayoutView="90" workbookViewId="0"/>
  </sheetViews>
  <sheetFormatPr defaultColWidth="8.81640625" defaultRowHeight="15.5" x14ac:dyDescent="0.35"/>
  <cols>
    <col min="1" max="1" width="26.453125" style="1" customWidth="1"/>
    <col min="2" max="3" width="24.453125" style="1" customWidth="1"/>
    <col min="4" max="4" width="28.81640625" style="1" customWidth="1"/>
    <col min="5" max="5" width="24.453125" style="1" customWidth="1"/>
    <col min="6" max="6" width="16" style="2" bestFit="1" customWidth="1"/>
    <col min="7" max="16384" width="8.81640625" style="2"/>
  </cols>
  <sheetData>
    <row r="2" spans="1:5" x14ac:dyDescent="0.35">
      <c r="A2" s="16"/>
      <c r="B2" s="19"/>
      <c r="C2" s="16"/>
      <c r="D2" s="16"/>
      <c r="E2" s="16"/>
    </row>
    <row r="3" spans="1:5" ht="15.75" customHeight="1" x14ac:dyDescent="0.35">
      <c r="A3" s="16"/>
      <c r="B3" s="73" t="str">
        <f>'Format - Resident investors'!B3</f>
        <v>CLIENT NAME AND ADDRESS</v>
      </c>
      <c r="C3" s="74"/>
      <c r="D3" s="74"/>
      <c r="E3" s="16"/>
    </row>
    <row r="4" spans="1:5" ht="15.75" customHeight="1" x14ac:dyDescent="0.35">
      <c r="A4" s="16"/>
      <c r="B4" s="74"/>
      <c r="C4" s="74"/>
      <c r="D4" s="74"/>
      <c r="E4" s="16"/>
    </row>
    <row r="5" spans="1:5" ht="15.75" customHeight="1" x14ac:dyDescent="0.35">
      <c r="A5" s="16"/>
      <c r="B5" s="74"/>
      <c r="C5" s="74"/>
      <c r="D5" s="74"/>
      <c r="E5" s="16"/>
    </row>
    <row r="6" spans="1:5" ht="15.75" customHeight="1" x14ac:dyDescent="0.35">
      <c r="A6" s="16"/>
      <c r="B6" s="74"/>
      <c r="C6" s="74"/>
      <c r="D6" s="74"/>
      <c r="E6" s="16"/>
    </row>
    <row r="7" spans="1:5" x14ac:dyDescent="0.35">
      <c r="B7" s="74"/>
      <c r="C7" s="74"/>
      <c r="D7" s="74"/>
    </row>
    <row r="8" spans="1:5" x14ac:dyDescent="0.35">
      <c r="B8" s="16"/>
      <c r="C8" s="16"/>
      <c r="D8" s="16"/>
    </row>
    <row r="9" spans="1:5" x14ac:dyDescent="0.35">
      <c r="A9" s="66" t="s">
        <v>5</v>
      </c>
      <c r="B9" s="66"/>
      <c r="C9" s="66"/>
      <c r="D9" s="66"/>
      <c r="E9" s="66"/>
    </row>
    <row r="10" spans="1:5" x14ac:dyDescent="0.35">
      <c r="A10" s="67" t="e">
        <f>CONCATENATE("Class: ",Working!#REF!)</f>
        <v>#REF!</v>
      </c>
      <c r="B10" s="67"/>
      <c r="C10" s="67"/>
      <c r="D10" s="67"/>
      <c r="E10" s="67"/>
    </row>
    <row r="11" spans="1:5" x14ac:dyDescent="0.35">
      <c r="A11" s="67" t="e">
        <f>CONCATENATE("Folio No.: ",Working!#REF!)</f>
        <v>#REF!</v>
      </c>
      <c r="B11" s="67"/>
      <c r="C11" s="67"/>
      <c r="D11" s="67"/>
      <c r="E11" s="67"/>
    </row>
    <row r="13" spans="1:5" x14ac:dyDescent="0.35">
      <c r="A13" s="55" t="str">
        <f>'Format - Resident investors'!A13</f>
        <v>Date: 11 June 2026</v>
      </c>
    </row>
    <row r="15" spans="1:5" x14ac:dyDescent="0.35">
      <c r="A15" s="1" t="s">
        <v>6</v>
      </c>
    </row>
    <row r="16" spans="1:5" x14ac:dyDescent="0.35">
      <c r="A16" s="68" t="e">
        <f>Working!#REF!</f>
        <v>#REF!</v>
      </c>
      <c r="B16" s="68"/>
    </row>
    <row r="17" spans="1:6" ht="32.15" customHeight="1" x14ac:dyDescent="0.35">
      <c r="A17" s="68" t="e">
        <f>Working!#REF!</f>
        <v>#REF!</v>
      </c>
      <c r="B17" s="68"/>
      <c r="C17" s="11"/>
      <c r="D17" s="11"/>
      <c r="E17" s="3"/>
    </row>
    <row r="19" spans="1:6" x14ac:dyDescent="0.35">
      <c r="A19" s="69" t="s">
        <v>147</v>
      </c>
      <c r="B19" s="69"/>
      <c r="C19" s="69"/>
      <c r="D19" s="69"/>
      <c r="E19" s="69"/>
    </row>
    <row r="21" spans="1:6" x14ac:dyDescent="0.35">
      <c r="A21" s="1" t="s">
        <v>75</v>
      </c>
    </row>
    <row r="23" spans="1:6" ht="15.75" customHeight="1" x14ac:dyDescent="0.35">
      <c r="A23" s="70" t="s">
        <v>124</v>
      </c>
      <c r="B23" s="70"/>
      <c r="C23" s="70"/>
      <c r="D23" s="70"/>
      <c r="E23" s="70"/>
    </row>
    <row r="24" spans="1:6" ht="33" customHeight="1" x14ac:dyDescent="0.35">
      <c r="A24" s="70"/>
      <c r="B24" s="70"/>
      <c r="C24" s="70"/>
      <c r="D24" s="70"/>
      <c r="E24" s="70"/>
    </row>
    <row r="25" spans="1:6" x14ac:dyDescent="0.35">
      <c r="A25" s="70" t="s">
        <v>7</v>
      </c>
      <c r="B25" s="70"/>
      <c r="C25" s="70"/>
      <c r="D25" s="70"/>
      <c r="E25" s="70"/>
    </row>
    <row r="27" spans="1:6" ht="64.5" customHeight="1" x14ac:dyDescent="0.35">
      <c r="A27" s="12" t="str">
        <f>'Format - Resident investors'!A27</f>
        <v>Capital commitment to XYZ FUND
(INR)</v>
      </c>
      <c r="B27" s="12" t="str">
        <f>'Format - Resident investors'!B27</f>
        <v>Capital contributed till date 
(INR)</v>
      </c>
      <c r="C27" s="17" t="str">
        <f>'Format - Resident investors'!C27</f>
        <v>Capital contribution pursuant to the 15th Drawdown 
(INR)</v>
      </c>
      <c r="D27" s="17" t="str">
        <f>'Format - Resident investors'!D27</f>
        <v>Capital contribution (after adjustment, if any) pursuant to the 15th Drawdown 
(INR)</v>
      </c>
      <c r="E27" s="17" t="str">
        <f>'Format - Resident investors'!E27</f>
        <v>% of the Capital commitment drawn down till date</v>
      </c>
    </row>
    <row r="28" spans="1:6" x14ac:dyDescent="0.35">
      <c r="A28" s="56" t="e">
        <f>Working!#REF!</f>
        <v>#REF!</v>
      </c>
      <c r="B28" s="56" t="e">
        <f>Working!#REF!</f>
        <v>#REF!</v>
      </c>
      <c r="C28" s="56" t="e">
        <f>Working!#REF!</f>
        <v>#REF!</v>
      </c>
      <c r="D28" s="56" t="e">
        <f>Working!#REF!</f>
        <v>#REF!</v>
      </c>
      <c r="E28" s="57" t="e">
        <f>Working!#REF!</f>
        <v>#REF!</v>
      </c>
      <c r="F28" s="10"/>
    </row>
    <row r="30" spans="1:6" ht="34.5" customHeight="1" x14ac:dyDescent="0.35">
      <c r="A30" s="71" t="s">
        <v>150</v>
      </c>
      <c r="B30" s="71"/>
      <c r="C30" s="71"/>
      <c r="D30" s="71"/>
      <c r="E30" s="71"/>
    </row>
    <row r="31" spans="1:6" ht="15.65" customHeight="1" x14ac:dyDescent="0.35">
      <c r="A31" s="72" t="str">
        <f>'Format - Resident investors'!A31</f>
        <v>The payment towards capital contribution for the 15th drawdown is to be made in the bank account of XYZ FUND within 15 Business Days from the date of issue of this Drawdown Notice i.e. on or before 30 June 2026</v>
      </c>
      <c r="B31" s="72"/>
      <c r="C31" s="72"/>
      <c r="D31" s="72"/>
      <c r="E31" s="72"/>
    </row>
    <row r="32" spans="1:6" x14ac:dyDescent="0.35">
      <c r="A32" s="72"/>
      <c r="B32" s="72"/>
      <c r="C32" s="72"/>
      <c r="D32" s="72"/>
      <c r="E32" s="72"/>
      <c r="F32" s="46"/>
    </row>
    <row r="34" spans="1:5" ht="19.5" customHeight="1" x14ac:dyDescent="0.35">
      <c r="A34" s="65" t="s">
        <v>88</v>
      </c>
      <c r="B34" s="65"/>
      <c r="C34" s="65"/>
      <c r="D34" s="65"/>
      <c r="E34" s="65"/>
    </row>
    <row r="36" spans="1:5" ht="31" x14ac:dyDescent="0.35">
      <c r="A36" s="4" t="s">
        <v>84</v>
      </c>
      <c r="B36" s="59" t="e">
        <f>D28</f>
        <v>#REF!</v>
      </c>
      <c r="C36" s="6"/>
      <c r="D36" s="6"/>
      <c r="E36" s="6"/>
    </row>
    <row r="37" spans="1:5" x14ac:dyDescent="0.35">
      <c r="A37" s="4" t="s">
        <v>9</v>
      </c>
      <c r="B37" s="7" t="s">
        <v>149</v>
      </c>
      <c r="C37" s="8"/>
      <c r="D37" s="8"/>
      <c r="E37" s="8"/>
    </row>
    <row r="38" spans="1:5" x14ac:dyDescent="0.35">
      <c r="A38" s="4" t="s">
        <v>73</v>
      </c>
      <c r="B38" s="7"/>
      <c r="C38" s="8"/>
      <c r="D38" s="8"/>
      <c r="E38" s="8"/>
    </row>
    <row r="39" spans="1:5" x14ac:dyDescent="0.35">
      <c r="A39" s="4" t="s">
        <v>25</v>
      </c>
      <c r="B39" s="7"/>
      <c r="C39" s="8"/>
      <c r="D39" s="8"/>
      <c r="E39" s="8"/>
    </row>
    <row r="40" spans="1:5" x14ac:dyDescent="0.35">
      <c r="A40" s="4" t="s">
        <v>11</v>
      </c>
      <c r="B40" s="7"/>
      <c r="C40" s="8"/>
      <c r="D40" s="8"/>
      <c r="E40" s="8"/>
    </row>
    <row r="41" spans="1:5" x14ac:dyDescent="0.35">
      <c r="A41" s="4" t="s">
        <v>10</v>
      </c>
      <c r="B41" s="7"/>
      <c r="C41" s="8"/>
      <c r="D41" s="8"/>
      <c r="E41" s="8"/>
    </row>
    <row r="42" spans="1:5" x14ac:dyDescent="0.35">
      <c r="A42" s="4" t="s">
        <v>82</v>
      </c>
      <c r="B42" s="7"/>
      <c r="C42" s="8"/>
      <c r="D42" s="8"/>
      <c r="E42" s="8"/>
    </row>
    <row r="43" spans="1:5" x14ac:dyDescent="0.35">
      <c r="B43" s="8"/>
      <c r="C43" s="8"/>
      <c r="D43" s="8"/>
      <c r="E43" s="8"/>
    </row>
    <row r="44" spans="1:5" ht="15.65" customHeight="1" x14ac:dyDescent="0.35">
      <c r="A44" s="70" t="s">
        <v>85</v>
      </c>
      <c r="B44" s="70"/>
      <c r="C44" s="70"/>
      <c r="D44" s="70"/>
      <c r="E44" s="70"/>
    </row>
    <row r="45" spans="1:5" x14ac:dyDescent="0.35">
      <c r="A45" s="70"/>
      <c r="B45" s="70"/>
      <c r="C45" s="70"/>
      <c r="D45" s="70"/>
      <c r="E45" s="70"/>
    </row>
    <row r="46" spans="1:5" x14ac:dyDescent="0.35">
      <c r="A46" s="9"/>
      <c r="B46" s="9"/>
      <c r="C46" s="9"/>
      <c r="D46" s="9"/>
      <c r="E46" s="9"/>
    </row>
    <row r="47" spans="1:5" x14ac:dyDescent="0.35">
      <c r="A47" s="9"/>
      <c r="B47" s="9"/>
      <c r="C47" s="9"/>
      <c r="D47" s="9"/>
      <c r="E47" s="9"/>
    </row>
    <row r="48" spans="1:5" ht="15.5" customHeight="1" x14ac:dyDescent="0.35">
      <c r="A48" s="9"/>
      <c r="B48" s="73" t="str">
        <f>'Format - Resident investors'!B3</f>
        <v>CLIENT NAME AND ADDRESS</v>
      </c>
      <c r="C48" s="74"/>
      <c r="D48" s="74"/>
      <c r="E48" s="9"/>
    </row>
    <row r="49" spans="1:5" x14ac:dyDescent="0.35">
      <c r="A49" s="9"/>
      <c r="B49" s="74"/>
      <c r="C49" s="74"/>
      <c r="D49" s="74"/>
      <c r="E49" s="9"/>
    </row>
    <row r="50" spans="1:5" ht="35.5" customHeight="1" x14ac:dyDescent="0.35">
      <c r="A50" s="9"/>
      <c r="B50" s="74"/>
      <c r="C50" s="74"/>
      <c r="D50" s="74"/>
      <c r="E50" s="9"/>
    </row>
    <row r="51" spans="1:5" x14ac:dyDescent="0.35">
      <c r="A51" s="9"/>
      <c r="B51" s="9"/>
      <c r="C51" s="9"/>
      <c r="D51" s="9"/>
      <c r="E51" s="9"/>
    </row>
    <row r="52" spans="1:5" x14ac:dyDescent="0.35">
      <c r="A52" s="9"/>
      <c r="B52" s="9"/>
      <c r="C52" s="9"/>
      <c r="D52" s="9"/>
      <c r="E52" s="9"/>
    </row>
    <row r="53" spans="1:5" x14ac:dyDescent="0.35">
      <c r="A53" s="9"/>
      <c r="B53" s="9"/>
      <c r="C53" s="9"/>
      <c r="D53" s="9"/>
      <c r="E53" s="9"/>
    </row>
    <row r="54" spans="1:5" ht="31.5" customHeight="1" x14ac:dyDescent="0.35">
      <c r="A54" s="68" t="str">
        <f>'Format - Resident investors'!A54</f>
        <v>Once the payment is done, kindly inform us on our email id abc@gmail.com, the following details of your remittance as under:</v>
      </c>
      <c r="B54" s="68"/>
      <c r="C54" s="68"/>
      <c r="D54" s="68"/>
      <c r="E54" s="68"/>
    </row>
    <row r="55" spans="1:5" x14ac:dyDescent="0.35">
      <c r="A55" s="76" t="s">
        <v>76</v>
      </c>
      <c r="B55" s="76"/>
      <c r="C55" s="9"/>
      <c r="D55" s="9"/>
      <c r="E55" s="9"/>
    </row>
    <row r="56" spans="1:5" x14ac:dyDescent="0.35">
      <c r="A56" s="18" t="s">
        <v>77</v>
      </c>
      <c r="B56" s="9"/>
      <c r="C56" s="9"/>
      <c r="D56" s="9"/>
      <c r="E56" s="9"/>
    </row>
    <row r="57" spans="1:5" x14ac:dyDescent="0.35">
      <c r="A57" s="18" t="s">
        <v>78</v>
      </c>
      <c r="B57" s="9"/>
      <c r="C57" s="9"/>
      <c r="D57" s="9"/>
      <c r="E57" s="9"/>
    </row>
    <row r="58" spans="1:5" x14ac:dyDescent="0.35">
      <c r="A58" s="18" t="s">
        <v>79</v>
      </c>
      <c r="B58" s="9"/>
      <c r="C58" s="9"/>
      <c r="D58" s="9"/>
      <c r="E58" s="9"/>
    </row>
    <row r="59" spans="1:5" x14ac:dyDescent="0.35">
      <c r="A59" s="9"/>
      <c r="B59" s="9"/>
      <c r="C59" s="9"/>
      <c r="D59" s="9"/>
      <c r="E59" s="9"/>
    </row>
    <row r="60" spans="1:5" ht="15.65" customHeight="1" x14ac:dyDescent="0.35">
      <c r="A60" s="20" t="s">
        <v>80</v>
      </c>
      <c r="B60" s="16"/>
      <c r="C60" s="16"/>
      <c r="D60" s="16"/>
      <c r="E60" s="16"/>
    </row>
    <row r="61" spans="1:5" x14ac:dyDescent="0.35">
      <c r="A61" s="16"/>
      <c r="B61" s="16"/>
      <c r="C61" s="16"/>
      <c r="D61" s="16"/>
      <c r="E61" s="16"/>
    </row>
    <row r="62" spans="1:5" x14ac:dyDescent="0.35">
      <c r="A62" s="1" t="s">
        <v>72</v>
      </c>
      <c r="C62" s="9"/>
      <c r="D62" s="9"/>
      <c r="E62" s="9"/>
    </row>
    <row r="63" spans="1:5" ht="32.5" customHeight="1" x14ac:dyDescent="0.35">
      <c r="A63" s="75" t="str">
        <f>'Format - Resident investors'!A63</f>
        <v>For ___________________LLP
(On behalf of  XYZ FUND)</v>
      </c>
      <c r="B63" s="75"/>
    </row>
    <row r="64" spans="1:5" ht="10.5" customHeight="1" x14ac:dyDescent="0.35">
      <c r="C64" s="9"/>
      <c r="D64" s="9"/>
      <c r="E64" s="9"/>
    </row>
    <row r="65" spans="1:5" ht="10.5" customHeight="1" x14ac:dyDescent="0.35"/>
    <row r="66" spans="1:5" ht="15.65" customHeight="1" x14ac:dyDescent="0.35">
      <c r="A66" s="65" t="s">
        <v>151</v>
      </c>
      <c r="B66" s="65"/>
      <c r="C66" s="9"/>
      <c r="D66" s="9"/>
      <c r="E66" s="9"/>
    </row>
    <row r="67" spans="1:5" ht="36" customHeight="1" x14ac:dyDescent="0.35">
      <c r="A67" s="65"/>
      <c r="B67" s="65"/>
      <c r="C67" s="9"/>
      <c r="D67" s="9"/>
      <c r="E67" s="9"/>
    </row>
  </sheetData>
  <mergeCells count="18">
    <mergeCell ref="A17:B17"/>
    <mergeCell ref="B3:D7"/>
    <mergeCell ref="A9:E9"/>
    <mergeCell ref="A10:E10"/>
    <mergeCell ref="A11:E11"/>
    <mergeCell ref="A16:B16"/>
    <mergeCell ref="A66:B67"/>
    <mergeCell ref="A19:E19"/>
    <mergeCell ref="A23:E24"/>
    <mergeCell ref="A25:E25"/>
    <mergeCell ref="A30:E30"/>
    <mergeCell ref="A31:E32"/>
    <mergeCell ref="A34:E34"/>
    <mergeCell ref="A44:E45"/>
    <mergeCell ref="B48:D50"/>
    <mergeCell ref="A54:E54"/>
    <mergeCell ref="A55:B55"/>
    <mergeCell ref="A63:B63"/>
  </mergeCells>
  <printOptions horizontalCentered="1"/>
  <pageMargins left="0.19685039370078741" right="0.19685039370078741" top="0" bottom="0" header="0" footer="0"/>
  <pageSetup paperSize="9" scale="78" fitToHeight="0" orientation="portrait" r:id="rId1"/>
  <headerFooter scaleWithDoc="0"/>
  <rowBreaks count="1" manualBreakCount="1">
    <brk id="46"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B13D-1410-4560-B307-7CE23930D7E4}">
  <sheetPr>
    <pageSetUpPr fitToPage="1"/>
  </sheetPr>
  <dimension ref="A2:F73"/>
  <sheetViews>
    <sheetView view="pageBreakPreview" zoomScale="90" zoomScaleNormal="100" zoomScaleSheetLayoutView="90" workbookViewId="0"/>
  </sheetViews>
  <sheetFormatPr defaultColWidth="8.81640625" defaultRowHeight="15.5" x14ac:dyDescent="0.35"/>
  <cols>
    <col min="1" max="1" width="27.1796875" style="1" customWidth="1"/>
    <col min="2" max="3" width="24.453125" style="1" customWidth="1"/>
    <col min="4" max="4" width="28.81640625" style="1" customWidth="1"/>
    <col min="5" max="5" width="24.453125" style="1" customWidth="1"/>
    <col min="6" max="6" width="16" style="2" bestFit="1" customWidth="1"/>
    <col min="7" max="16384" width="8.81640625" style="2"/>
  </cols>
  <sheetData>
    <row r="2" spans="1:6" x14ac:dyDescent="0.35">
      <c r="A2" s="16"/>
      <c r="B2" s="19"/>
      <c r="C2" s="16"/>
      <c r="D2" s="16"/>
      <c r="E2" s="16"/>
    </row>
    <row r="3" spans="1:6" ht="15.75" customHeight="1" x14ac:dyDescent="0.35">
      <c r="A3" s="16"/>
      <c r="B3" s="73" t="str" cm="1">
        <f t="array" ref="B3:D7">'Format - R Inv (Empl &amp; Sponsor)'!B3:D7</f>
        <v>CLIENT NAME AND ADDRESS</v>
      </c>
      <c r="C3" s="74">
        <v>0</v>
      </c>
      <c r="D3" s="74">
        <v>0</v>
      </c>
      <c r="E3" s="16"/>
    </row>
    <row r="4" spans="1:6" ht="15.75" customHeight="1" x14ac:dyDescent="0.35">
      <c r="A4" s="16"/>
      <c r="B4" s="74">
        <v>0</v>
      </c>
      <c r="C4" s="74">
        <v>0</v>
      </c>
      <c r="D4" s="74">
        <v>0</v>
      </c>
      <c r="E4" s="16"/>
      <c r="F4" s="13"/>
    </row>
    <row r="5" spans="1:6" ht="15.75" customHeight="1" x14ac:dyDescent="0.35">
      <c r="A5" s="16"/>
      <c r="B5" s="74">
        <v>0</v>
      </c>
      <c r="C5" s="74">
        <v>0</v>
      </c>
      <c r="D5" s="74">
        <v>0</v>
      </c>
      <c r="E5" s="16"/>
    </row>
    <row r="6" spans="1:6" ht="15.75" customHeight="1" x14ac:dyDescent="0.35">
      <c r="A6" s="16"/>
      <c r="B6" s="74">
        <v>0</v>
      </c>
      <c r="C6" s="74">
        <v>0</v>
      </c>
      <c r="D6" s="74">
        <v>0</v>
      </c>
      <c r="E6" s="16"/>
    </row>
    <row r="7" spans="1:6" x14ac:dyDescent="0.35">
      <c r="B7" s="74">
        <v>0</v>
      </c>
      <c r="C7" s="74">
        <v>0</v>
      </c>
      <c r="D7" s="74">
        <v>0</v>
      </c>
    </row>
    <row r="8" spans="1:6" x14ac:dyDescent="0.35">
      <c r="B8" s="16"/>
      <c r="C8" s="16"/>
      <c r="D8" s="16"/>
    </row>
    <row r="9" spans="1:6" x14ac:dyDescent="0.35">
      <c r="A9" s="66" t="s">
        <v>5</v>
      </c>
      <c r="B9" s="66"/>
      <c r="C9" s="66"/>
      <c r="D9" s="66"/>
      <c r="E9" s="66"/>
    </row>
    <row r="10" spans="1:6" x14ac:dyDescent="0.35">
      <c r="A10" s="67" t="e">
        <f>CONCATENATE("Class: ",Working!#REF!)</f>
        <v>#REF!</v>
      </c>
      <c r="B10" s="67"/>
      <c r="C10" s="67"/>
      <c r="D10" s="67"/>
      <c r="E10" s="67"/>
    </row>
    <row r="11" spans="1:6" x14ac:dyDescent="0.35">
      <c r="A11" s="67" t="e">
        <f>CONCATENATE("Folio No.: ",Working!#REF!)</f>
        <v>#REF!</v>
      </c>
      <c r="B11" s="67"/>
      <c r="C11" s="67"/>
      <c r="D11" s="67"/>
      <c r="E11" s="67"/>
    </row>
    <row r="13" spans="1:6" x14ac:dyDescent="0.35">
      <c r="A13" s="55" t="str">
        <f>'Format - Resident investors'!A13</f>
        <v>Date: 11 June 2026</v>
      </c>
    </row>
    <row r="15" spans="1:6" x14ac:dyDescent="0.35">
      <c r="A15" s="1" t="s">
        <v>6</v>
      </c>
    </row>
    <row r="16" spans="1:6" x14ac:dyDescent="0.35">
      <c r="A16" s="68" t="e">
        <f>Working!#REF!</f>
        <v>#REF!</v>
      </c>
      <c r="B16" s="68"/>
    </row>
    <row r="17" spans="1:6" ht="49.5" customHeight="1" x14ac:dyDescent="0.35">
      <c r="A17" s="68" t="e">
        <f>Working!#REF!</f>
        <v>#REF!</v>
      </c>
      <c r="B17" s="68"/>
      <c r="C17" s="78"/>
      <c r="D17" s="78"/>
      <c r="E17" s="78"/>
    </row>
    <row r="19" spans="1:6" x14ac:dyDescent="0.35">
      <c r="A19" s="69" t="str">
        <f>'Format - Resident investors'!A19</f>
        <v>Re: Notice of 15th Drawdown for XYZ FUND ('the Fund')</v>
      </c>
      <c r="B19" s="69"/>
      <c r="C19" s="69"/>
      <c r="D19" s="69"/>
      <c r="E19" s="69"/>
    </row>
    <row r="21" spans="1:6" x14ac:dyDescent="0.35">
      <c r="A21" s="1" t="s">
        <v>75</v>
      </c>
    </row>
    <row r="23" spans="1:6" ht="15.75" customHeight="1" x14ac:dyDescent="0.35">
      <c r="A23" s="70" t="s">
        <v>124</v>
      </c>
      <c r="B23" s="70"/>
      <c r="C23" s="70"/>
      <c r="D23" s="70"/>
      <c r="E23" s="70"/>
    </row>
    <row r="24" spans="1:6" ht="33" customHeight="1" x14ac:dyDescent="0.35">
      <c r="A24" s="70"/>
      <c r="B24" s="70"/>
      <c r="C24" s="70"/>
      <c r="D24" s="70"/>
      <c r="E24" s="70"/>
    </row>
    <row r="25" spans="1:6" x14ac:dyDescent="0.35">
      <c r="A25" s="70" t="s">
        <v>7</v>
      </c>
      <c r="B25" s="70"/>
      <c r="C25" s="70"/>
      <c r="D25" s="70"/>
      <c r="E25" s="70"/>
    </row>
    <row r="27" spans="1:6" ht="64.5" customHeight="1" x14ac:dyDescent="0.35">
      <c r="A27" s="12" t="str">
        <f>'Format - Resident investors'!A27</f>
        <v>Capital commitment to XYZ FUND
(INR)</v>
      </c>
      <c r="B27" s="12" t="str">
        <f>'Format - Resident investors'!B27</f>
        <v>Capital contributed till date 
(INR)</v>
      </c>
      <c r="C27" s="17" t="str">
        <f>'Format - Resident investors'!C27</f>
        <v>Capital contribution pursuant to the 15th Drawdown 
(INR)</v>
      </c>
      <c r="D27" s="17" t="str">
        <f>'Format - Resident investors'!D27</f>
        <v>Capital contribution (after adjustment, if any) pursuant to the 15th Drawdown 
(INR)</v>
      </c>
      <c r="E27" s="17" t="str">
        <f>'Format - Resident investors'!E27</f>
        <v>% of the Capital commitment drawn down till date</v>
      </c>
    </row>
    <row r="28" spans="1:6" x14ac:dyDescent="0.35">
      <c r="A28" s="56" t="e">
        <f>Working!#REF!</f>
        <v>#REF!</v>
      </c>
      <c r="B28" s="56" t="e">
        <f>Working!#REF!</f>
        <v>#REF!</v>
      </c>
      <c r="C28" s="56" t="e">
        <f>Working!#REF!</f>
        <v>#REF!</v>
      </c>
      <c r="D28" s="56" t="e">
        <f>Working!#REF!</f>
        <v>#REF!</v>
      </c>
      <c r="E28" s="57" t="e">
        <f>Working!#REF!</f>
        <v>#REF!</v>
      </c>
      <c r="F28" s="10"/>
    </row>
    <row r="30" spans="1:6" ht="49" customHeight="1" x14ac:dyDescent="0.35">
      <c r="A30" s="71" t="str">
        <f>'Format - Resident investors'!A30</f>
        <v>The capital contribution for the current Drawdown will be applied towards portfolio investment in ABC Private Limited, Management Fees for the period 1st July 2026 to 30th September 2026 and Fund expenses.</v>
      </c>
      <c r="B30" s="71"/>
      <c r="C30" s="71"/>
      <c r="D30" s="71"/>
      <c r="E30" s="71"/>
    </row>
    <row r="31" spans="1:6" ht="15.65" customHeight="1" x14ac:dyDescent="0.35">
      <c r="A31" s="72" t="str">
        <f>'Format - Resident investors'!A31</f>
        <v>The payment towards capital contribution for the 15th drawdown is to be made in the bank account of XYZ FUND within 15 Business Days from the date of issue of this Drawdown Notice i.e. on or before 30 June 2026</v>
      </c>
      <c r="B31" s="72"/>
      <c r="C31" s="72"/>
      <c r="D31" s="72"/>
      <c r="E31" s="72"/>
    </row>
    <row r="32" spans="1:6" x14ac:dyDescent="0.35">
      <c r="A32" s="72"/>
      <c r="B32" s="72"/>
      <c r="C32" s="72"/>
      <c r="D32" s="72"/>
      <c r="E32" s="72"/>
    </row>
    <row r="34" spans="1:5" ht="21.65" customHeight="1" x14ac:dyDescent="0.35">
      <c r="A34" s="65" t="s">
        <v>88</v>
      </c>
      <c r="B34" s="65"/>
      <c r="C34" s="65"/>
      <c r="D34" s="65"/>
      <c r="E34" s="65"/>
    </row>
    <row r="36" spans="1:5" x14ac:dyDescent="0.35">
      <c r="A36" s="4" t="s">
        <v>84</v>
      </c>
      <c r="B36" s="59" t="e">
        <f>D28</f>
        <v>#REF!</v>
      </c>
      <c r="C36" s="21"/>
      <c r="D36" s="22"/>
      <c r="E36" s="6"/>
    </row>
    <row r="37" spans="1:5" x14ac:dyDescent="0.35">
      <c r="A37" s="4" t="s">
        <v>9</v>
      </c>
      <c r="B37" s="7" t="s">
        <v>149</v>
      </c>
      <c r="C37" s="21"/>
      <c r="D37" s="22"/>
      <c r="E37" s="8"/>
    </row>
    <row r="38" spans="1:5" x14ac:dyDescent="0.35">
      <c r="A38" s="4" t="s">
        <v>73</v>
      </c>
      <c r="B38" s="7"/>
      <c r="C38" s="21"/>
      <c r="D38" s="22"/>
      <c r="E38" s="8"/>
    </row>
    <row r="39" spans="1:5" x14ac:dyDescent="0.35">
      <c r="A39" s="4" t="s">
        <v>25</v>
      </c>
      <c r="B39" s="7"/>
      <c r="C39" s="21"/>
      <c r="D39" s="22"/>
      <c r="E39" s="8"/>
    </row>
    <row r="40" spans="1:5" x14ac:dyDescent="0.35">
      <c r="A40" s="4" t="s">
        <v>11</v>
      </c>
      <c r="B40" s="7"/>
      <c r="C40" s="21"/>
      <c r="D40" s="22"/>
      <c r="E40" s="8"/>
    </row>
    <row r="41" spans="1:5" x14ac:dyDescent="0.35">
      <c r="A41" s="4" t="s">
        <v>10</v>
      </c>
      <c r="B41" s="7"/>
      <c r="C41" s="21"/>
      <c r="D41" s="22"/>
      <c r="E41" s="8"/>
    </row>
    <row r="42" spans="1:5" x14ac:dyDescent="0.35">
      <c r="A42" s="4" t="s">
        <v>82</v>
      </c>
      <c r="B42" s="7"/>
      <c r="C42" s="8"/>
      <c r="D42" s="8"/>
      <c r="E42" s="8"/>
    </row>
    <row r="43" spans="1:5" x14ac:dyDescent="0.35">
      <c r="B43" s="8"/>
      <c r="C43" s="8"/>
      <c r="D43" s="8"/>
      <c r="E43" s="8"/>
    </row>
    <row r="44" spans="1:5" ht="16" customHeight="1" x14ac:dyDescent="0.35">
      <c r="A44" s="20" t="s">
        <v>83</v>
      </c>
      <c r="B44" s="16"/>
      <c r="C44" s="16"/>
      <c r="D44" s="16"/>
      <c r="E44" s="16"/>
    </row>
    <row r="45" spans="1:5" ht="16" customHeight="1" x14ac:dyDescent="0.35">
      <c r="A45" s="20"/>
      <c r="B45" s="16"/>
      <c r="C45" s="16"/>
      <c r="D45" s="16"/>
      <c r="E45" s="16"/>
    </row>
    <row r="46" spans="1:5" ht="64.5" customHeight="1" x14ac:dyDescent="0.35">
      <c r="A46" s="65" t="s">
        <v>154</v>
      </c>
      <c r="B46" s="65"/>
      <c r="C46" s="65"/>
      <c r="D46" s="16"/>
      <c r="E46" s="16"/>
    </row>
    <row r="47" spans="1:5" ht="16" customHeight="1" x14ac:dyDescent="0.35">
      <c r="D47" s="16"/>
      <c r="E47" s="16"/>
    </row>
    <row r="48" spans="1:5" ht="16" customHeight="1" x14ac:dyDescent="0.35">
      <c r="D48" s="16"/>
      <c r="E48" s="16"/>
    </row>
    <row r="49" spans="1:5" ht="16" customHeight="1" x14ac:dyDescent="0.35">
      <c r="D49" s="16"/>
      <c r="E49" s="16"/>
    </row>
    <row r="50" spans="1:5" ht="16" customHeight="1" x14ac:dyDescent="0.35">
      <c r="B50" s="73" t="str" cm="1">
        <f t="array" ref="B50:D52">'Format - R Inv (Empl &amp; Sponsor)'!B48:D50</f>
        <v>CLIENT NAME AND ADDRESS</v>
      </c>
      <c r="C50" s="74">
        <v>0</v>
      </c>
      <c r="D50" s="74">
        <v>0</v>
      </c>
      <c r="E50" s="16"/>
    </row>
    <row r="51" spans="1:5" ht="16" customHeight="1" x14ac:dyDescent="0.35">
      <c r="B51" s="74">
        <v>0</v>
      </c>
      <c r="C51" s="74">
        <v>0</v>
      </c>
      <c r="D51" s="74">
        <v>0</v>
      </c>
      <c r="E51" s="16"/>
    </row>
    <row r="52" spans="1:5" ht="16" customHeight="1" x14ac:dyDescent="0.35">
      <c r="B52" s="74">
        <v>0</v>
      </c>
      <c r="C52" s="74">
        <v>0</v>
      </c>
      <c r="D52" s="74">
        <v>0</v>
      </c>
      <c r="E52" s="16"/>
    </row>
    <row r="53" spans="1:5" ht="16" customHeight="1" x14ac:dyDescent="0.35">
      <c r="B53" s="73"/>
      <c r="C53" s="74"/>
      <c r="D53" s="74"/>
      <c r="E53" s="16"/>
    </row>
    <row r="54" spans="1:5" ht="16" customHeight="1" x14ac:dyDescent="0.35">
      <c r="B54" s="23"/>
      <c r="C54" s="23"/>
      <c r="D54" s="23"/>
      <c r="E54" s="16"/>
    </row>
    <row r="55" spans="1:5" ht="16" customHeight="1" x14ac:dyDescent="0.35">
      <c r="B55" s="23"/>
      <c r="C55" s="23"/>
      <c r="D55" s="23"/>
      <c r="E55" s="16"/>
    </row>
    <row r="56" spans="1:5" x14ac:dyDescent="0.35">
      <c r="B56" s="8"/>
      <c r="C56" s="8"/>
      <c r="D56" s="8"/>
      <c r="E56" s="8"/>
    </row>
    <row r="57" spans="1:5" ht="15.65" customHeight="1" x14ac:dyDescent="0.35">
      <c r="A57" s="70" t="s">
        <v>85</v>
      </c>
      <c r="B57" s="70"/>
      <c r="C57" s="70"/>
      <c r="D57" s="70"/>
      <c r="E57" s="70"/>
    </row>
    <row r="58" spans="1:5" x14ac:dyDescent="0.35">
      <c r="A58" s="70"/>
      <c r="B58" s="70"/>
      <c r="C58" s="70"/>
      <c r="D58" s="70"/>
      <c r="E58" s="70"/>
    </row>
    <row r="59" spans="1:5" x14ac:dyDescent="0.35">
      <c r="A59" s="9"/>
      <c r="B59" s="9"/>
      <c r="C59" s="9"/>
      <c r="D59" s="9"/>
      <c r="E59" s="9"/>
    </row>
    <row r="60" spans="1:5" ht="31.5" customHeight="1" x14ac:dyDescent="0.35">
      <c r="A60" s="68" t="str">
        <f>'Format - R Inv (Empl &amp; Sponsor)'!A54</f>
        <v>Once the payment is done, kindly inform us on our email id abc@gmail.com, the following details of your remittance as under:</v>
      </c>
      <c r="B60" s="68"/>
      <c r="C60" s="68"/>
      <c r="D60" s="68"/>
      <c r="E60" s="68"/>
    </row>
    <row r="61" spans="1:5" x14ac:dyDescent="0.35">
      <c r="A61" s="76" t="s">
        <v>76</v>
      </c>
      <c r="B61" s="76"/>
      <c r="C61" s="9"/>
      <c r="D61" s="9"/>
      <c r="E61" s="9"/>
    </row>
    <row r="62" spans="1:5" x14ac:dyDescent="0.35">
      <c r="A62" s="18" t="s">
        <v>77</v>
      </c>
      <c r="B62" s="9"/>
      <c r="C62" s="9"/>
      <c r="D62" s="9"/>
      <c r="E62" s="9"/>
    </row>
    <row r="63" spans="1:5" x14ac:dyDescent="0.35">
      <c r="A63" s="18" t="s">
        <v>78</v>
      </c>
      <c r="B63" s="9"/>
      <c r="C63" s="9"/>
      <c r="D63" s="9"/>
      <c r="E63" s="9"/>
    </row>
    <row r="64" spans="1:5" x14ac:dyDescent="0.35">
      <c r="A64" s="18" t="s">
        <v>79</v>
      </c>
      <c r="B64" s="9"/>
      <c r="C64" s="9"/>
      <c r="D64" s="9"/>
      <c r="E64" s="9"/>
    </row>
    <row r="65" spans="1:5" x14ac:dyDescent="0.35">
      <c r="A65" s="16"/>
      <c r="B65" s="16"/>
      <c r="C65" s="16"/>
      <c r="D65" s="16"/>
      <c r="E65" s="16"/>
    </row>
    <row r="66" spans="1:5" ht="15.65" customHeight="1" x14ac:dyDescent="0.35">
      <c r="A66" s="20" t="s">
        <v>80</v>
      </c>
      <c r="B66" s="16"/>
      <c r="C66" s="16"/>
      <c r="D66" s="16"/>
      <c r="E66" s="16"/>
    </row>
    <row r="67" spans="1:5" x14ac:dyDescent="0.35">
      <c r="A67" s="16"/>
      <c r="B67" s="16"/>
      <c r="C67" s="16"/>
      <c r="D67" s="16"/>
      <c r="E67" s="16"/>
    </row>
    <row r="68" spans="1:5" x14ac:dyDescent="0.35">
      <c r="A68" s="1" t="s">
        <v>72</v>
      </c>
      <c r="C68" s="9"/>
      <c r="D68" s="9"/>
      <c r="E68" s="9"/>
    </row>
    <row r="69" spans="1:5" ht="32.5" customHeight="1" x14ac:dyDescent="0.35">
      <c r="A69" s="75" t="str">
        <f>'Format - R Inv (Empl &amp; Sponsor)'!A63</f>
        <v>For ___________________LLP
(On behalf of  XYZ FUND)</v>
      </c>
      <c r="B69" s="75"/>
    </row>
    <row r="70" spans="1:5" ht="10.5" customHeight="1" x14ac:dyDescent="0.35">
      <c r="C70" s="9"/>
      <c r="D70" s="9"/>
      <c r="E70" s="9"/>
    </row>
    <row r="71" spans="1:5" ht="10.5" customHeight="1" x14ac:dyDescent="0.35"/>
    <row r="72" spans="1:5" ht="15.65" customHeight="1" x14ac:dyDescent="0.35">
      <c r="A72" s="65" t="str">
        <f>'Format - R Inv (Empl &amp; Sponsor)'!A66</f>
        <v>Sd/-
Designated Partner</v>
      </c>
      <c r="B72" s="65"/>
      <c r="C72" s="9"/>
      <c r="D72" s="9"/>
      <c r="E72" s="9"/>
    </row>
    <row r="73" spans="1:5" ht="36" customHeight="1" x14ac:dyDescent="0.35">
      <c r="A73" s="65"/>
      <c r="B73" s="65"/>
      <c r="C73" s="9"/>
      <c r="D73" s="9"/>
      <c r="E73" s="9"/>
    </row>
  </sheetData>
  <mergeCells count="21">
    <mergeCell ref="C17:E17"/>
    <mergeCell ref="A57:E58"/>
    <mergeCell ref="A60:E60"/>
    <mergeCell ref="A61:B61"/>
    <mergeCell ref="A17:B17"/>
    <mergeCell ref="B50:D52"/>
    <mergeCell ref="B53:D53"/>
    <mergeCell ref="A69:B69"/>
    <mergeCell ref="A72:B73"/>
    <mergeCell ref="A19:E19"/>
    <mergeCell ref="A23:E24"/>
    <mergeCell ref="A25:E25"/>
    <mergeCell ref="A30:E30"/>
    <mergeCell ref="A31:E32"/>
    <mergeCell ref="A34:E34"/>
    <mergeCell ref="A46:C46"/>
    <mergeCell ref="B3:D7"/>
    <mergeCell ref="A9:E9"/>
    <mergeCell ref="A10:E10"/>
    <mergeCell ref="A11:E11"/>
    <mergeCell ref="A16:B16"/>
  </mergeCells>
  <printOptions horizontalCentered="1"/>
  <pageMargins left="0.19685039370078741" right="0.19685039370078741" top="0" bottom="0" header="0" footer="0"/>
  <pageSetup paperSize="9" scale="77" fitToHeight="0" orientation="portrait" r:id="rId1"/>
  <rowBreaks count="1" manualBreakCount="1">
    <brk id="48"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CD2F3-3E5C-4D06-80A7-AA17E79A503B}">
  <sheetPr>
    <pageSetUpPr fitToPage="1"/>
  </sheetPr>
  <dimension ref="A2:G74"/>
  <sheetViews>
    <sheetView showWhiteSpace="0" view="pageBreakPreview" zoomScale="90" zoomScaleNormal="100" zoomScaleSheetLayoutView="90" zoomScalePageLayoutView="80" workbookViewId="0"/>
  </sheetViews>
  <sheetFormatPr defaultColWidth="8.81640625" defaultRowHeight="15.5" x14ac:dyDescent="0.35"/>
  <cols>
    <col min="1" max="1" width="25.453125" style="1" customWidth="1"/>
    <col min="2" max="2" width="20.54296875" style="1" customWidth="1"/>
    <col min="3" max="3" width="26.81640625" style="1" customWidth="1"/>
    <col min="4" max="4" width="27.81640625" style="1" customWidth="1"/>
    <col min="5" max="5" width="27.54296875" style="1" customWidth="1"/>
    <col min="6" max="6" width="24.453125" style="1" customWidth="1"/>
    <col min="7" max="7" width="16" style="2" bestFit="1" customWidth="1"/>
    <col min="8" max="16384" width="8.81640625" style="2"/>
  </cols>
  <sheetData>
    <row r="2" spans="1:7" x14ac:dyDescent="0.35">
      <c r="A2" s="16"/>
      <c r="B2" s="19"/>
      <c r="C2" s="16"/>
      <c r="D2" s="16"/>
      <c r="E2" s="16"/>
    </row>
    <row r="3" spans="1:7" ht="15.75" customHeight="1" x14ac:dyDescent="0.35">
      <c r="A3" s="16"/>
      <c r="B3" s="73" t="str">
        <f>'Format - NRIs'!B3</f>
        <v>CLIENT NAME AND ADDRESS</v>
      </c>
      <c r="C3" s="74"/>
      <c r="D3" s="74"/>
      <c r="E3" s="73"/>
      <c r="F3" s="16"/>
    </row>
    <row r="4" spans="1:7" ht="15.75" customHeight="1" x14ac:dyDescent="0.35">
      <c r="A4" s="16"/>
      <c r="B4" s="74"/>
      <c r="C4" s="74"/>
      <c r="D4" s="74"/>
      <c r="E4" s="74"/>
      <c r="F4" s="16"/>
      <c r="G4" s="13"/>
    </row>
    <row r="5" spans="1:7" ht="15.75" customHeight="1" x14ac:dyDescent="0.35">
      <c r="A5" s="16"/>
      <c r="B5" s="74"/>
      <c r="C5" s="74"/>
      <c r="D5" s="74"/>
      <c r="E5" s="74"/>
      <c r="F5" s="16"/>
    </row>
    <row r="6" spans="1:7" ht="15.75" customHeight="1" x14ac:dyDescent="0.35">
      <c r="A6" s="16"/>
      <c r="B6" s="74"/>
      <c r="C6" s="74"/>
      <c r="D6" s="74"/>
      <c r="E6" s="74"/>
      <c r="F6" s="16"/>
    </row>
    <row r="7" spans="1:7" x14ac:dyDescent="0.35">
      <c r="B7" s="74"/>
      <c r="C7" s="74"/>
      <c r="D7" s="74"/>
      <c r="E7" s="74"/>
    </row>
    <row r="8" spans="1:7" x14ac:dyDescent="0.35">
      <c r="B8" s="16"/>
      <c r="C8" s="16"/>
      <c r="D8" s="16"/>
      <c r="E8" s="16"/>
    </row>
    <row r="9" spans="1:7" x14ac:dyDescent="0.35">
      <c r="A9" s="66" t="s">
        <v>5</v>
      </c>
      <c r="B9" s="66"/>
      <c r="C9" s="66"/>
      <c r="D9" s="66"/>
      <c r="E9" s="66"/>
      <c r="F9" s="66"/>
    </row>
    <row r="10" spans="1:7" x14ac:dyDescent="0.35">
      <c r="A10" s="67" t="e">
        <f>CONCATENATE("Class: ",Working!#REF!)</f>
        <v>#REF!</v>
      </c>
      <c r="B10" s="67"/>
      <c r="C10" s="67"/>
      <c r="D10" s="67"/>
      <c r="E10" s="67"/>
      <c r="F10" s="67"/>
    </row>
    <row r="11" spans="1:7" x14ac:dyDescent="0.35">
      <c r="A11" s="67" t="e">
        <f>CONCATENATE("Class: ",Working!#REF!)</f>
        <v>#REF!</v>
      </c>
      <c r="B11" s="67"/>
      <c r="C11" s="67"/>
      <c r="D11" s="67"/>
      <c r="E11" s="67"/>
      <c r="F11" s="67"/>
    </row>
    <row r="13" spans="1:7" x14ac:dyDescent="0.35">
      <c r="A13" s="55" t="str">
        <f>'Format - Resident investors'!A13</f>
        <v>Date: 11 June 2026</v>
      </c>
    </row>
    <row r="15" spans="1:7" x14ac:dyDescent="0.35">
      <c r="A15" s="1" t="s">
        <v>6</v>
      </c>
    </row>
    <row r="16" spans="1:7" x14ac:dyDescent="0.35">
      <c r="A16" s="68" t="e">
        <f>Working!#REF!</f>
        <v>#REF!</v>
      </c>
      <c r="B16" s="68"/>
      <c r="C16" s="81"/>
      <c r="D16" s="81"/>
      <c r="E16" s="81"/>
      <c r="F16" s="81"/>
    </row>
    <row r="17" spans="1:7" ht="31.5" customHeight="1" x14ac:dyDescent="0.35">
      <c r="A17" s="68" t="e">
        <f>Working!#REF!</f>
        <v>#REF!</v>
      </c>
      <c r="B17" s="68"/>
      <c r="C17" s="81"/>
      <c r="D17" s="81"/>
      <c r="E17" s="81"/>
      <c r="F17" s="81"/>
    </row>
    <row r="19" spans="1:7" x14ac:dyDescent="0.35">
      <c r="A19" s="69" t="str">
        <f>'Format - Resident investors'!A19</f>
        <v>Re: Notice of 15th Drawdown for XYZ FUND ('the Fund')</v>
      </c>
      <c r="B19" s="69"/>
      <c r="C19" s="69"/>
      <c r="D19" s="69"/>
      <c r="E19" s="69"/>
      <c r="F19" s="69"/>
    </row>
    <row r="21" spans="1:7" x14ac:dyDescent="0.35">
      <c r="A21" s="1" t="s">
        <v>75</v>
      </c>
    </row>
    <row r="23" spans="1:7" ht="15.75" customHeight="1" x14ac:dyDescent="0.35">
      <c r="A23" s="70" t="s">
        <v>124</v>
      </c>
      <c r="B23" s="70"/>
      <c r="C23" s="70"/>
      <c r="D23" s="70"/>
      <c r="E23" s="70"/>
      <c r="F23" s="70"/>
    </row>
    <row r="24" spans="1:7" ht="33" customHeight="1" x14ac:dyDescent="0.35">
      <c r="A24" s="70"/>
      <c r="B24" s="70"/>
      <c r="C24" s="70"/>
      <c r="D24" s="70"/>
      <c r="E24" s="70"/>
      <c r="F24" s="70"/>
    </row>
    <row r="25" spans="1:7" x14ac:dyDescent="0.35">
      <c r="A25" s="70" t="s">
        <v>7</v>
      </c>
      <c r="B25" s="70"/>
      <c r="C25" s="70"/>
      <c r="D25" s="70"/>
      <c r="E25" s="70"/>
      <c r="F25" s="70"/>
    </row>
    <row r="27" spans="1:7" ht="64.5" customHeight="1" x14ac:dyDescent="0.35">
      <c r="A27" s="17" t="str">
        <f>'Format - Resident investors'!A27</f>
        <v>Capital commitment to XYZ FUND
(INR)</v>
      </c>
      <c r="B27" s="17" t="str">
        <f>'Format - Resident investors'!B27</f>
        <v>Capital contributed till date 
(INR)</v>
      </c>
      <c r="C27" s="17" t="str">
        <f>'Format - Resident investors'!C27</f>
        <v>Capital contribution pursuant to the 15th Drawdown 
(INR)</v>
      </c>
      <c r="D27" s="17" t="s">
        <v>111</v>
      </c>
      <c r="E27" s="17" t="s">
        <v>143</v>
      </c>
      <c r="F27" s="17" t="str">
        <f>'Format - Resident investors'!E27</f>
        <v>% of the Capital commitment drawn down till date</v>
      </c>
    </row>
    <row r="28" spans="1:7" x14ac:dyDescent="0.35">
      <c r="A28" s="56" t="e">
        <f>Working!#REF!</f>
        <v>#REF!</v>
      </c>
      <c r="B28" s="56" t="e">
        <f>Working!#REF!</f>
        <v>#REF!</v>
      </c>
      <c r="C28" s="56" t="e">
        <f>Working!#REF!</f>
        <v>#REF!</v>
      </c>
      <c r="D28" s="56" t="s">
        <v>185</v>
      </c>
      <c r="E28" s="56" t="e">
        <f>Working!#REF!</f>
        <v>#REF!</v>
      </c>
      <c r="F28" s="57" t="e">
        <f>Working!#REF!</f>
        <v>#REF!</v>
      </c>
      <c r="G28" s="10"/>
    </row>
    <row r="29" spans="1:7" ht="7.5" customHeight="1" x14ac:dyDescent="0.35"/>
    <row r="30" spans="1:7" ht="31.5" customHeight="1" x14ac:dyDescent="0.35">
      <c r="A30" s="84" t="str">
        <f>'Format - Resident investors'!A30</f>
        <v>The capital contribution for the current Drawdown will be applied towards portfolio investment in ABC Private Limited, Management Fees for the period 1st July 2026 to 30th September 2026 and Fund expenses.</v>
      </c>
      <c r="B30" s="84"/>
      <c r="C30" s="84"/>
      <c r="D30" s="84"/>
      <c r="E30" s="84"/>
      <c r="F30" s="84"/>
    </row>
    <row r="31" spans="1:7" x14ac:dyDescent="0.35">
      <c r="A31" s="86"/>
      <c r="B31" s="86"/>
      <c r="C31" s="86"/>
      <c r="D31" s="86"/>
      <c r="E31" s="86"/>
      <c r="F31" s="86"/>
    </row>
    <row r="32" spans="1:7" ht="48" customHeight="1" x14ac:dyDescent="0.35">
      <c r="A32" s="85" t="s">
        <v>81</v>
      </c>
      <c r="B32" s="85"/>
      <c r="C32" s="82" t="s">
        <v>86</v>
      </c>
      <c r="D32" s="83"/>
      <c r="E32" s="82" t="s">
        <v>96</v>
      </c>
      <c r="F32" s="83"/>
      <c r="G32" s="49" t="e">
        <f>A33+E33+C33-C28</f>
        <v>#VALUE!</v>
      </c>
    </row>
    <row r="33" spans="1:7" ht="30" customHeight="1" x14ac:dyDescent="0.35">
      <c r="A33" s="79" t="s">
        <v>186</v>
      </c>
      <c r="B33" s="80"/>
      <c r="C33" s="79" t="s">
        <v>187</v>
      </c>
      <c r="D33" s="80"/>
      <c r="E33" s="79" t="s">
        <v>188</v>
      </c>
      <c r="F33" s="80"/>
      <c r="G33" s="15" t="e">
        <f>A33+E33+C33</f>
        <v>#VALUE!</v>
      </c>
    </row>
    <row r="34" spans="1:7" ht="12" customHeight="1" x14ac:dyDescent="0.35">
      <c r="A34" s="24"/>
      <c r="B34" s="24"/>
      <c r="C34" s="24"/>
      <c r="D34" s="24"/>
      <c r="E34" s="25"/>
      <c r="F34" s="25"/>
    </row>
    <row r="35" spans="1:7" ht="15.65" customHeight="1" x14ac:dyDescent="0.35">
      <c r="A35" s="72" t="str">
        <f>'Format - Resident investors'!A31</f>
        <v>The payment towards capital contribution for the 15th drawdown is to be made in the bank account of XYZ FUND within 15 Business Days from the date of issue of this Drawdown Notice i.e. on or before 30 June 2026</v>
      </c>
      <c r="B35" s="72"/>
      <c r="C35" s="72"/>
      <c r="D35" s="72"/>
      <c r="E35" s="72"/>
      <c r="F35" s="72"/>
    </row>
    <row r="36" spans="1:7" x14ac:dyDescent="0.35">
      <c r="A36" s="72"/>
      <c r="B36" s="72"/>
      <c r="C36" s="72"/>
      <c r="D36" s="72"/>
      <c r="E36" s="72"/>
      <c r="F36" s="72"/>
    </row>
    <row r="38" spans="1:7" ht="26.15" customHeight="1" x14ac:dyDescent="0.35">
      <c r="A38" s="65" t="s">
        <v>89</v>
      </c>
      <c r="B38" s="65"/>
      <c r="C38" s="65"/>
      <c r="D38" s="65"/>
      <c r="E38" s="65"/>
      <c r="F38" s="65"/>
    </row>
    <row r="40" spans="1:7" ht="31" x14ac:dyDescent="0.35">
      <c r="A40" s="4" t="s">
        <v>84</v>
      </c>
      <c r="B40" s="59" t="e">
        <f>E28</f>
        <v>#REF!</v>
      </c>
      <c r="C40" s="6"/>
      <c r="D40" s="6"/>
      <c r="E40" s="6"/>
      <c r="F40" s="6"/>
    </row>
    <row r="41" spans="1:7" x14ac:dyDescent="0.35">
      <c r="A41" s="4" t="s">
        <v>9</v>
      </c>
      <c r="B41" s="7" t="s">
        <v>149</v>
      </c>
      <c r="C41" s="8"/>
      <c r="D41" s="8"/>
      <c r="E41" s="8"/>
      <c r="F41" s="8"/>
    </row>
    <row r="42" spans="1:7" x14ac:dyDescent="0.35">
      <c r="A42" s="4" t="s">
        <v>73</v>
      </c>
      <c r="B42" s="7"/>
      <c r="C42" s="8"/>
      <c r="D42" s="8"/>
      <c r="E42" s="8"/>
      <c r="F42" s="8"/>
    </row>
    <row r="43" spans="1:7" x14ac:dyDescent="0.35">
      <c r="A43" s="4" t="s">
        <v>25</v>
      </c>
      <c r="B43" s="7"/>
      <c r="C43" s="8"/>
      <c r="D43" s="8"/>
      <c r="E43" s="8"/>
      <c r="F43" s="8"/>
    </row>
    <row r="44" spans="1:7" x14ac:dyDescent="0.35">
      <c r="A44" s="4" t="s">
        <v>11</v>
      </c>
      <c r="B44" s="7"/>
      <c r="C44" s="8"/>
      <c r="D44" s="8"/>
      <c r="E44" s="8"/>
      <c r="F44" s="8"/>
    </row>
    <row r="45" spans="1:7" x14ac:dyDescent="0.35">
      <c r="A45" s="4" t="s">
        <v>10</v>
      </c>
      <c r="B45" s="7"/>
      <c r="C45" s="8"/>
      <c r="D45" s="8"/>
      <c r="E45" s="8"/>
      <c r="F45" s="8"/>
    </row>
    <row r="46" spans="1:7" x14ac:dyDescent="0.35">
      <c r="A46" s="4" t="s">
        <v>82</v>
      </c>
      <c r="B46" s="7"/>
      <c r="C46" s="8"/>
      <c r="D46" s="8"/>
      <c r="E46" s="8"/>
      <c r="F46" s="8"/>
    </row>
    <row r="47" spans="1:7" x14ac:dyDescent="0.35">
      <c r="B47" s="8"/>
      <c r="C47" s="8"/>
      <c r="D47" s="8"/>
      <c r="E47" s="8"/>
      <c r="F47" s="8"/>
    </row>
    <row r="48" spans="1:7" x14ac:dyDescent="0.35">
      <c r="B48" s="8"/>
      <c r="C48" s="8"/>
      <c r="D48" s="8"/>
      <c r="E48" s="8"/>
      <c r="F48" s="8"/>
    </row>
    <row r="49" spans="1:6" x14ac:dyDescent="0.35">
      <c r="B49" s="8"/>
      <c r="C49" s="8"/>
      <c r="D49" s="8"/>
      <c r="E49" s="8"/>
      <c r="F49" s="8"/>
    </row>
    <row r="50" spans="1:6" x14ac:dyDescent="0.35">
      <c r="B50" s="8"/>
      <c r="C50" s="8"/>
      <c r="D50" s="8"/>
      <c r="E50" s="8"/>
      <c r="F50" s="8"/>
    </row>
    <row r="51" spans="1:6" x14ac:dyDescent="0.35">
      <c r="B51" s="8"/>
      <c r="C51" s="8"/>
      <c r="D51" s="8"/>
      <c r="E51" s="8"/>
      <c r="F51" s="8"/>
    </row>
    <row r="52" spans="1:6" ht="15.5" customHeight="1" x14ac:dyDescent="0.35">
      <c r="B52" s="73" t="str">
        <f>'Format - NRIs'!B50</f>
        <v>CLIENT NAME AND ADDRESS</v>
      </c>
      <c r="C52" s="74"/>
      <c r="D52" s="74"/>
      <c r="E52" s="73"/>
      <c r="F52" s="8"/>
    </row>
    <row r="53" spans="1:6" ht="46.5" customHeight="1" x14ac:dyDescent="0.35">
      <c r="B53" s="74"/>
      <c r="C53" s="74"/>
      <c r="D53" s="74"/>
      <c r="E53" s="74"/>
      <c r="F53" s="8"/>
    </row>
    <row r="54" spans="1:6" x14ac:dyDescent="0.35">
      <c r="B54" s="74"/>
      <c r="C54" s="74"/>
      <c r="D54" s="74"/>
      <c r="E54" s="74"/>
      <c r="F54" s="8"/>
    </row>
    <row r="55" spans="1:6" x14ac:dyDescent="0.35">
      <c r="B55" s="8"/>
      <c r="C55" s="8"/>
      <c r="D55" s="8"/>
      <c r="E55" s="8"/>
      <c r="F55" s="8"/>
    </row>
    <row r="56" spans="1:6" x14ac:dyDescent="0.35">
      <c r="B56" s="8"/>
      <c r="C56" s="8"/>
      <c r="D56" s="8"/>
      <c r="E56" s="8"/>
      <c r="F56" s="8"/>
    </row>
    <row r="57" spans="1:6" x14ac:dyDescent="0.35">
      <c r="B57" s="8"/>
      <c r="C57" s="8"/>
      <c r="D57" s="8"/>
      <c r="E57" s="8"/>
      <c r="F57" s="8"/>
    </row>
    <row r="58" spans="1:6" ht="15.65" customHeight="1" x14ac:dyDescent="0.35">
      <c r="A58" s="70" t="s">
        <v>85</v>
      </c>
      <c r="B58" s="70"/>
      <c r="C58" s="70"/>
      <c r="D58" s="70"/>
      <c r="E58" s="70"/>
      <c r="F58" s="70"/>
    </row>
    <row r="59" spans="1:6" x14ac:dyDescent="0.35">
      <c r="A59" s="70"/>
      <c r="B59" s="70"/>
      <c r="C59" s="70"/>
      <c r="D59" s="70"/>
      <c r="E59" s="70"/>
      <c r="F59" s="70"/>
    </row>
    <row r="60" spans="1:6" x14ac:dyDescent="0.35">
      <c r="A60" s="9"/>
      <c r="B60" s="9"/>
      <c r="C60" s="9"/>
      <c r="D60" s="9"/>
      <c r="E60" s="9"/>
      <c r="F60" s="9"/>
    </row>
    <row r="61" spans="1:6" ht="30.65" customHeight="1" x14ac:dyDescent="0.35">
      <c r="A61" s="68" t="str">
        <f>'Format - NRIs'!A60</f>
        <v>Once the payment is done, kindly inform us on our email id abc@gmail.com, the following details of your remittance as under:</v>
      </c>
      <c r="B61" s="68"/>
      <c r="C61" s="68"/>
      <c r="D61" s="68"/>
      <c r="E61" s="68"/>
      <c r="F61" s="68"/>
    </row>
    <row r="62" spans="1:6" x14ac:dyDescent="0.35">
      <c r="A62" s="76" t="s">
        <v>76</v>
      </c>
      <c r="B62" s="76"/>
      <c r="C62" s="9"/>
      <c r="D62" s="9"/>
      <c r="E62" s="9"/>
      <c r="F62" s="9"/>
    </row>
    <row r="63" spans="1:6" x14ac:dyDescent="0.35">
      <c r="A63" s="18" t="s">
        <v>77</v>
      </c>
      <c r="B63" s="9"/>
      <c r="C63" s="9"/>
      <c r="D63" s="9"/>
      <c r="E63" s="9"/>
      <c r="F63" s="9"/>
    </row>
    <row r="64" spans="1:6" x14ac:dyDescent="0.35">
      <c r="A64" s="18" t="s">
        <v>78</v>
      </c>
      <c r="B64" s="9"/>
      <c r="C64" s="9"/>
      <c r="D64" s="9"/>
      <c r="E64" s="9"/>
      <c r="F64" s="9"/>
    </row>
    <row r="65" spans="1:6" x14ac:dyDescent="0.35">
      <c r="A65" s="18" t="s">
        <v>79</v>
      </c>
      <c r="B65" s="9"/>
      <c r="C65" s="9"/>
      <c r="D65" s="9"/>
      <c r="E65" s="9"/>
      <c r="F65" s="9"/>
    </row>
    <row r="66" spans="1:6" x14ac:dyDescent="0.35">
      <c r="A66" s="16"/>
      <c r="B66" s="16"/>
      <c r="C66" s="16"/>
      <c r="D66" s="16"/>
      <c r="E66" s="16"/>
      <c r="F66" s="16"/>
    </row>
    <row r="67" spans="1:6" ht="15.65" customHeight="1" x14ac:dyDescent="0.35">
      <c r="A67" s="20" t="s">
        <v>80</v>
      </c>
      <c r="B67" s="16"/>
      <c r="C67" s="16"/>
      <c r="D67" s="16"/>
      <c r="E67" s="16"/>
      <c r="F67" s="16"/>
    </row>
    <row r="68" spans="1:6" x14ac:dyDescent="0.35">
      <c r="A68" s="16"/>
      <c r="B68" s="16"/>
      <c r="C68" s="16"/>
      <c r="D68" s="16"/>
      <c r="E68" s="16"/>
      <c r="F68" s="16"/>
    </row>
    <row r="69" spans="1:6" x14ac:dyDescent="0.35">
      <c r="A69" s="1" t="s">
        <v>72</v>
      </c>
      <c r="C69" s="9"/>
      <c r="D69" s="9"/>
      <c r="E69" s="9"/>
      <c r="F69" s="9"/>
    </row>
    <row r="70" spans="1:6" ht="32.5" customHeight="1" x14ac:dyDescent="0.35">
      <c r="A70" s="75" t="str">
        <f>'Format - NRIs'!A69</f>
        <v>For ___________________LLP
(On behalf of  XYZ FUND)</v>
      </c>
      <c r="B70" s="75"/>
    </row>
    <row r="71" spans="1:6" ht="10.5" customHeight="1" x14ac:dyDescent="0.35">
      <c r="C71" s="9"/>
      <c r="D71" s="9"/>
      <c r="E71" s="9"/>
      <c r="F71" s="9"/>
    </row>
    <row r="72" spans="1:6" ht="10.5" customHeight="1" x14ac:dyDescent="0.35"/>
    <row r="73" spans="1:6" ht="15.65" customHeight="1" x14ac:dyDescent="0.35">
      <c r="A73" s="65" t="str">
        <f>'Format - NRIs'!A72</f>
        <v>Sd/-
Designated Partner</v>
      </c>
      <c r="B73" s="65"/>
      <c r="C73" s="9"/>
      <c r="D73" s="9"/>
      <c r="E73" s="9"/>
      <c r="F73" s="9"/>
    </row>
    <row r="74" spans="1:6" ht="36" customHeight="1" x14ac:dyDescent="0.35">
      <c r="A74" s="65"/>
      <c r="B74" s="65"/>
      <c r="C74" s="9"/>
      <c r="D74" s="9"/>
      <c r="E74" s="9"/>
      <c r="F74" s="9"/>
    </row>
  </sheetData>
  <mergeCells count="28">
    <mergeCell ref="B3:D7"/>
    <mergeCell ref="E3:E7"/>
    <mergeCell ref="B52:D54"/>
    <mergeCell ref="E52:E54"/>
    <mergeCell ref="A73:B74"/>
    <mergeCell ref="A19:F19"/>
    <mergeCell ref="A23:F24"/>
    <mergeCell ref="A25:F25"/>
    <mergeCell ref="A30:F30"/>
    <mergeCell ref="A35:F36"/>
    <mergeCell ref="A38:F38"/>
    <mergeCell ref="A58:F59"/>
    <mergeCell ref="A61:F61"/>
    <mergeCell ref="A62:B62"/>
    <mergeCell ref="A70:B70"/>
    <mergeCell ref="A32:B32"/>
    <mergeCell ref="E33:F33"/>
    <mergeCell ref="A33:B33"/>
    <mergeCell ref="A17:B17"/>
    <mergeCell ref="C16:F17"/>
    <mergeCell ref="A9:F9"/>
    <mergeCell ref="A10:F10"/>
    <mergeCell ref="A11:F11"/>
    <mergeCell ref="A16:B16"/>
    <mergeCell ref="C32:D32"/>
    <mergeCell ref="C33:D33"/>
    <mergeCell ref="A31:F31"/>
    <mergeCell ref="E32:F32"/>
  </mergeCells>
  <printOptions horizontalCentered="1"/>
  <pageMargins left="0.19685039370078741" right="0.19685039370078741" top="0" bottom="0" header="0" footer="0"/>
  <pageSetup scale="67" fitToHeight="0" orientation="portrait" r:id="rId1"/>
  <rowBreaks count="1" manualBreakCount="1">
    <brk id="50" max="4" man="1"/>
  </rowBreaks>
  <colBreaks count="1" manualBreakCount="1">
    <brk id="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3687E-E2EC-4437-BDF5-E1FBD0766A3C}">
  <dimension ref="A2:F67"/>
  <sheetViews>
    <sheetView view="pageBreakPreview" zoomScale="90" zoomScaleNormal="100" zoomScaleSheetLayoutView="90" workbookViewId="0"/>
  </sheetViews>
  <sheetFormatPr defaultRowHeight="15.5" x14ac:dyDescent="0.35"/>
  <cols>
    <col min="1" max="1" width="26.453125" style="1" customWidth="1"/>
    <col min="2" max="3" width="24.453125" style="1" customWidth="1"/>
    <col min="4" max="4" width="28.81640625" style="1" customWidth="1"/>
    <col min="5" max="5" width="24.453125" style="1" customWidth="1"/>
  </cols>
  <sheetData>
    <row r="2" spans="1:5" x14ac:dyDescent="0.35">
      <c r="A2" s="16"/>
      <c r="B2" s="19"/>
      <c r="C2" s="16"/>
      <c r="D2" s="16"/>
      <c r="E2" s="16"/>
    </row>
    <row r="3" spans="1:5" ht="15.5" customHeight="1" x14ac:dyDescent="0.35">
      <c r="A3" s="16"/>
      <c r="B3" s="73" t="str" cm="1">
        <f t="array" ref="B3">_xlfn.ANCHORARRAY('Format - LDC''s'!B3)</f>
        <v>CLIENT NAME AND ADDRESS</v>
      </c>
      <c r="C3" s="74">
        <v>0</v>
      </c>
      <c r="D3" s="74">
        <v>0</v>
      </c>
      <c r="E3" s="16"/>
    </row>
    <row r="4" spans="1:5" ht="15.5" customHeight="1" x14ac:dyDescent="0.35">
      <c r="A4" s="16"/>
      <c r="B4" s="74">
        <v>0</v>
      </c>
      <c r="C4" s="74">
        <v>0</v>
      </c>
      <c r="D4" s="74">
        <v>0</v>
      </c>
      <c r="E4" s="16"/>
    </row>
    <row r="5" spans="1:5" ht="15.5" customHeight="1" x14ac:dyDescent="0.35">
      <c r="A5" s="16"/>
      <c r="B5" s="74">
        <v>0</v>
      </c>
      <c r="C5" s="74">
        <v>0</v>
      </c>
      <c r="D5" s="74">
        <v>0</v>
      </c>
      <c r="E5" s="16"/>
    </row>
    <row r="6" spans="1:5" ht="15.5" customHeight="1" x14ac:dyDescent="0.35">
      <c r="A6" s="16"/>
      <c r="B6" s="74">
        <v>0</v>
      </c>
      <c r="C6" s="74">
        <v>0</v>
      </c>
      <c r="D6" s="74">
        <v>0</v>
      </c>
      <c r="E6" s="16"/>
    </row>
    <row r="7" spans="1:5" ht="15.5" customHeight="1" x14ac:dyDescent="0.35">
      <c r="B7" s="74">
        <v>0</v>
      </c>
      <c r="C7" s="74">
        <v>0</v>
      </c>
      <c r="D7" s="74">
        <v>0</v>
      </c>
    </row>
    <row r="8" spans="1:5" x14ac:dyDescent="0.35">
      <c r="B8" s="16"/>
      <c r="C8" s="16"/>
      <c r="D8" s="16"/>
    </row>
    <row r="9" spans="1:5" ht="15" x14ac:dyDescent="0.35">
      <c r="A9" s="66" t="s">
        <v>5</v>
      </c>
      <c r="B9" s="66"/>
      <c r="C9" s="66"/>
      <c r="D9" s="66"/>
      <c r="E9" s="66"/>
    </row>
    <row r="10" spans="1:5" x14ac:dyDescent="0.35">
      <c r="A10" s="67" t="e">
        <f>CONCATENATE("Class: ",Working!#REF!)</f>
        <v>#REF!</v>
      </c>
      <c r="B10" s="67"/>
      <c r="C10" s="67"/>
      <c r="D10" s="67"/>
      <c r="E10" s="67"/>
    </row>
    <row r="11" spans="1:5" x14ac:dyDescent="0.35">
      <c r="A11" s="67" t="e">
        <f>CONCATENATE("Folio No.: ",Working!#REF!)</f>
        <v>#REF!</v>
      </c>
      <c r="B11" s="67"/>
      <c r="C11" s="67"/>
      <c r="D11" s="67"/>
      <c r="E11" s="67"/>
    </row>
    <row r="13" spans="1:5" x14ac:dyDescent="0.35">
      <c r="A13" s="55" t="str">
        <f>'Format - Resident investors'!A13</f>
        <v>Date: 11 June 2026</v>
      </c>
    </row>
    <row r="15" spans="1:5" x14ac:dyDescent="0.35">
      <c r="A15" s="1" t="s">
        <v>6</v>
      </c>
    </row>
    <row r="16" spans="1:5" x14ac:dyDescent="0.35">
      <c r="A16" s="68" t="e">
        <f>Working!#REF!</f>
        <v>#REF!</v>
      </c>
      <c r="B16" s="68"/>
    </row>
    <row r="17" spans="1:5" x14ac:dyDescent="0.35">
      <c r="A17" s="68" t="e">
        <f>Working!#REF!</f>
        <v>#REF!</v>
      </c>
      <c r="B17" s="68"/>
      <c r="C17" s="11"/>
      <c r="D17" s="11"/>
      <c r="E17" s="3"/>
    </row>
    <row r="19" spans="1:5" ht="15" x14ac:dyDescent="0.35">
      <c r="A19" s="69" t="str">
        <f>'Format - Resident investors'!A19</f>
        <v>Re: Notice of 15th Drawdown for XYZ FUND ('the Fund')</v>
      </c>
      <c r="B19" s="69"/>
      <c r="C19" s="69"/>
      <c r="D19" s="69"/>
      <c r="E19" s="69"/>
    </row>
    <row r="21" spans="1:5" x14ac:dyDescent="0.35">
      <c r="A21" s="1" t="s">
        <v>75</v>
      </c>
    </row>
    <row r="23" spans="1:5" ht="14.5" x14ac:dyDescent="0.35">
      <c r="A23" s="87" t="s">
        <v>125</v>
      </c>
      <c r="B23" s="87"/>
      <c r="C23" s="87"/>
      <c r="D23" s="87"/>
      <c r="E23" s="87"/>
    </row>
    <row r="24" spans="1:5" ht="39" customHeight="1" x14ac:dyDescent="0.35">
      <c r="A24" s="87"/>
      <c r="B24" s="87"/>
      <c r="C24" s="87"/>
      <c r="D24" s="87"/>
      <c r="E24" s="87"/>
    </row>
    <row r="25" spans="1:5" x14ac:dyDescent="0.35">
      <c r="A25" s="70" t="s">
        <v>7</v>
      </c>
      <c r="B25" s="70"/>
      <c r="C25" s="70"/>
      <c r="D25" s="70"/>
      <c r="E25" s="70"/>
    </row>
    <row r="27" spans="1:5" ht="62" x14ac:dyDescent="0.35">
      <c r="A27" s="12" t="s">
        <v>148</v>
      </c>
      <c r="B27" s="12" t="s">
        <v>8</v>
      </c>
      <c r="C27" s="17" t="str">
        <f>'Format - Resident investors'!C27</f>
        <v>Capital contribution pursuant to the 15th Drawdown 
(INR)</v>
      </c>
      <c r="D27" s="17" t="str">
        <f>'Format - Resident investors'!D27</f>
        <v>Capital contribution (after adjustment, if any) pursuant to the 15th Drawdown 
(INR)</v>
      </c>
      <c r="E27" s="17" t="s">
        <v>123</v>
      </c>
    </row>
    <row r="28" spans="1:5" x14ac:dyDescent="0.35">
      <c r="A28" s="56" t="e">
        <f>Working!#REF!</f>
        <v>#REF!</v>
      </c>
      <c r="B28" s="56" t="e">
        <f>Working!#REF!</f>
        <v>#REF!</v>
      </c>
      <c r="C28" s="56" t="e">
        <f>Working!#REF!</f>
        <v>#REF!</v>
      </c>
      <c r="D28" s="56" t="e">
        <f>Working!#REF!</f>
        <v>#REF!</v>
      </c>
      <c r="E28" s="57" t="e">
        <f>Working!#REF!</f>
        <v>#REF!</v>
      </c>
    </row>
    <row r="30" spans="1:5" ht="49.5" customHeight="1" x14ac:dyDescent="0.35">
      <c r="A30" s="71" t="str">
        <f>'Format - Resident investors'!A30</f>
        <v>The capital contribution for the current Drawdown will be applied towards portfolio investment in ABC Private Limited, Management Fees for the period 1st July 2026 to 30th September 2026 and Fund expenses.</v>
      </c>
      <c r="B30" s="71"/>
      <c r="C30" s="71"/>
      <c r="D30" s="71"/>
      <c r="E30" s="71"/>
    </row>
    <row r="31" spans="1:5" ht="14.5" customHeight="1" x14ac:dyDescent="0.35">
      <c r="A31" s="72" t="str">
        <f>'Format - Resident investors'!A31</f>
        <v>The payment towards capital contribution for the 15th drawdown is to be made in the bank account of XYZ FUND within 15 Business Days from the date of issue of this Drawdown Notice i.e. on or before 30 June 2026</v>
      </c>
      <c r="B31" s="72"/>
      <c r="C31" s="72"/>
      <c r="D31" s="72"/>
      <c r="E31" s="72"/>
    </row>
    <row r="32" spans="1:5" ht="21" customHeight="1" x14ac:dyDescent="0.35">
      <c r="A32" s="72"/>
      <c r="B32" s="72"/>
      <c r="C32" s="72"/>
      <c r="D32" s="72"/>
      <c r="E32" s="72"/>
    </row>
    <row r="34" spans="1:5" x14ac:dyDescent="0.35">
      <c r="A34" s="65" t="s">
        <v>88</v>
      </c>
      <c r="B34" s="65"/>
      <c r="C34" s="65"/>
      <c r="D34" s="65"/>
      <c r="E34" s="65"/>
    </row>
    <row r="36" spans="1:5" ht="31" x14ac:dyDescent="0.35">
      <c r="A36" s="4" t="s">
        <v>84</v>
      </c>
      <c r="B36" s="5" t="e">
        <f>D28</f>
        <v>#REF!</v>
      </c>
      <c r="C36" s="6"/>
      <c r="D36" s="6"/>
      <c r="E36" s="6"/>
    </row>
    <row r="37" spans="1:5" x14ac:dyDescent="0.35">
      <c r="A37" s="4" t="s">
        <v>9</v>
      </c>
      <c r="B37" s="7" t="s">
        <v>149</v>
      </c>
      <c r="C37" s="8"/>
      <c r="D37" s="8"/>
      <c r="E37" s="8"/>
    </row>
    <row r="38" spans="1:5" x14ac:dyDescent="0.35">
      <c r="A38" s="4" t="s">
        <v>73</v>
      </c>
      <c r="B38" s="7"/>
      <c r="C38" s="8"/>
      <c r="D38" s="8"/>
      <c r="E38" s="8"/>
    </row>
    <row r="39" spans="1:5" x14ac:dyDescent="0.35">
      <c r="A39" s="4" t="s">
        <v>25</v>
      </c>
      <c r="B39" s="7"/>
      <c r="C39" s="8"/>
      <c r="D39" s="8"/>
      <c r="E39" s="8"/>
    </row>
    <row r="40" spans="1:5" x14ac:dyDescent="0.35">
      <c r="A40" s="4" t="s">
        <v>11</v>
      </c>
      <c r="B40" s="7"/>
      <c r="C40" s="8"/>
      <c r="D40" s="8"/>
      <c r="E40" s="8"/>
    </row>
    <row r="41" spans="1:5" x14ac:dyDescent="0.35">
      <c r="A41" s="4" t="s">
        <v>10</v>
      </c>
      <c r="B41" s="7"/>
      <c r="C41" s="8"/>
      <c r="D41" s="8"/>
      <c r="E41" s="8"/>
    </row>
    <row r="42" spans="1:5" x14ac:dyDescent="0.35">
      <c r="A42" s="4" t="s">
        <v>82</v>
      </c>
      <c r="B42" s="7"/>
      <c r="C42" s="8"/>
      <c r="D42" s="8"/>
      <c r="E42" s="8"/>
    </row>
    <row r="43" spans="1:5" x14ac:dyDescent="0.35">
      <c r="B43" s="8"/>
      <c r="C43" s="8"/>
      <c r="D43" s="8"/>
      <c r="E43" s="8"/>
    </row>
    <row r="44" spans="1:5" ht="14.5" x14ac:dyDescent="0.35">
      <c r="A44" s="70" t="s">
        <v>85</v>
      </c>
      <c r="B44" s="70"/>
      <c r="C44" s="70"/>
      <c r="D44" s="70"/>
      <c r="E44" s="70"/>
    </row>
    <row r="45" spans="1:5" ht="21" customHeight="1" x14ac:dyDescent="0.35">
      <c r="A45" s="70"/>
      <c r="B45" s="70"/>
      <c r="C45" s="70"/>
      <c r="D45" s="70"/>
      <c r="E45" s="70"/>
    </row>
    <row r="46" spans="1:5" x14ac:dyDescent="0.35">
      <c r="A46" s="9"/>
      <c r="B46" s="9"/>
      <c r="C46" s="9"/>
      <c r="D46" s="9"/>
      <c r="E46" s="9"/>
    </row>
    <row r="47" spans="1:5" x14ac:dyDescent="0.35">
      <c r="A47" s="9"/>
      <c r="B47" s="9"/>
      <c r="C47" s="9"/>
      <c r="D47" s="9"/>
      <c r="E47" s="9"/>
    </row>
    <row r="48" spans="1:5" x14ac:dyDescent="0.35">
      <c r="A48" s="9"/>
      <c r="B48" s="73" t="str" cm="1">
        <f t="array" ref="B48:D50">'Format - LDC''s'!B52:D54</f>
        <v>CLIENT NAME AND ADDRESS</v>
      </c>
      <c r="C48" s="74">
        <v>0</v>
      </c>
      <c r="D48" s="74">
        <v>0</v>
      </c>
      <c r="E48" s="9"/>
    </row>
    <row r="49" spans="1:6" x14ac:dyDescent="0.35">
      <c r="A49" s="9"/>
      <c r="B49" s="74">
        <v>0</v>
      </c>
      <c r="C49" s="74">
        <v>0</v>
      </c>
      <c r="D49" s="74">
        <v>0</v>
      </c>
      <c r="E49" s="9"/>
    </row>
    <row r="50" spans="1:6" x14ac:dyDescent="0.35">
      <c r="A50" s="9"/>
      <c r="B50" s="74">
        <v>0</v>
      </c>
      <c r="C50" s="74">
        <v>0</v>
      </c>
      <c r="D50" s="74">
        <v>0</v>
      </c>
      <c r="E50" s="9"/>
    </row>
    <row r="51" spans="1:6" x14ac:dyDescent="0.35">
      <c r="A51" s="9"/>
      <c r="B51" s="9"/>
      <c r="C51" s="9"/>
      <c r="D51" s="9"/>
      <c r="E51" s="9"/>
    </row>
    <row r="52" spans="1:6" x14ac:dyDescent="0.35">
      <c r="A52" s="60"/>
      <c r="B52" s="9"/>
      <c r="C52" s="9"/>
      <c r="D52" s="9"/>
      <c r="E52" s="9"/>
    </row>
    <row r="53" spans="1:6" x14ac:dyDescent="0.35">
      <c r="A53" s="9"/>
      <c r="B53" s="9"/>
      <c r="C53" s="9"/>
      <c r="D53" s="9"/>
      <c r="E53" s="9"/>
    </row>
    <row r="54" spans="1:6" ht="14.5" x14ac:dyDescent="0.35">
      <c r="A54" s="68" t="str" cm="1">
        <f t="array" ref="A54:F54">'Format - LDC''s'!A61:F61</f>
        <v>Once the payment is done, kindly inform us on our email id abc@gmail.com, the following details of your remittance as under:</v>
      </c>
      <c r="B54" s="68">
        <v>0</v>
      </c>
      <c r="C54" s="68">
        <v>0</v>
      </c>
      <c r="D54" s="68">
        <v>0</v>
      </c>
      <c r="E54" s="68">
        <v>0</v>
      </c>
      <c r="F54">
        <v>0</v>
      </c>
    </row>
    <row r="55" spans="1:6" x14ac:dyDescent="0.35">
      <c r="A55" s="76" t="s">
        <v>76</v>
      </c>
      <c r="B55" s="76"/>
      <c r="C55" s="9"/>
      <c r="D55" s="9"/>
      <c r="E55" s="9"/>
    </row>
    <row r="56" spans="1:6" x14ac:dyDescent="0.35">
      <c r="A56" s="18" t="s">
        <v>77</v>
      </c>
      <c r="B56" s="9"/>
      <c r="C56" s="9"/>
      <c r="D56" s="9"/>
      <c r="E56" s="9"/>
    </row>
    <row r="57" spans="1:6" x14ac:dyDescent="0.35">
      <c r="A57" s="18" t="s">
        <v>78</v>
      </c>
      <c r="B57" s="9"/>
      <c r="C57" s="9"/>
      <c r="D57" s="9"/>
      <c r="E57" s="9"/>
    </row>
    <row r="58" spans="1:6" x14ac:dyDescent="0.35">
      <c r="A58" s="18" t="s">
        <v>79</v>
      </c>
      <c r="B58" s="9"/>
      <c r="C58" s="9"/>
      <c r="D58" s="9"/>
      <c r="E58" s="9"/>
    </row>
    <row r="59" spans="1:6" x14ac:dyDescent="0.35">
      <c r="A59" s="9"/>
      <c r="B59" s="9"/>
      <c r="C59" s="9"/>
      <c r="D59" s="9"/>
      <c r="E59" s="9"/>
    </row>
    <row r="60" spans="1:6" x14ac:dyDescent="0.35">
      <c r="A60" s="20" t="s">
        <v>80</v>
      </c>
      <c r="B60" s="16"/>
      <c r="C60" s="16"/>
      <c r="D60" s="16"/>
      <c r="E60" s="16"/>
    </row>
    <row r="61" spans="1:6" x14ac:dyDescent="0.35">
      <c r="A61" s="16"/>
      <c r="B61" s="16"/>
      <c r="C61" s="16"/>
      <c r="D61" s="16"/>
      <c r="E61" s="16"/>
    </row>
    <row r="62" spans="1:6" x14ac:dyDescent="0.35">
      <c r="A62" s="1" t="s">
        <v>72</v>
      </c>
      <c r="C62" s="9"/>
      <c r="D62" s="9"/>
      <c r="E62" s="9"/>
    </row>
    <row r="63" spans="1:6" ht="35" customHeight="1" x14ac:dyDescent="0.35">
      <c r="A63" s="75" t="str">
        <f>'Format - LDC''s'!A70</f>
        <v>For ___________________LLP
(On behalf of  XYZ FUND)</v>
      </c>
      <c r="B63" s="75"/>
    </row>
    <row r="64" spans="1:6" x14ac:dyDescent="0.35">
      <c r="C64" s="9"/>
      <c r="D64" s="9"/>
      <c r="E64" s="9"/>
    </row>
    <row r="66" spans="1:5" x14ac:dyDescent="0.35">
      <c r="A66" s="65" t="str">
        <f>'Format - LDC''s'!A73</f>
        <v>Sd/-
Designated Partner</v>
      </c>
      <c r="B66" s="65"/>
      <c r="C66" s="9"/>
      <c r="D66" s="9"/>
      <c r="E66" s="9"/>
    </row>
    <row r="67" spans="1:5" ht="40" customHeight="1" x14ac:dyDescent="0.35">
      <c r="A67" s="65"/>
      <c r="B67" s="65"/>
      <c r="C67" s="9"/>
      <c r="D67" s="9"/>
      <c r="E67" s="9"/>
    </row>
  </sheetData>
  <mergeCells count="18">
    <mergeCell ref="A66:B67"/>
    <mergeCell ref="A19:E19"/>
    <mergeCell ref="A23:E24"/>
    <mergeCell ref="A25:E25"/>
    <mergeCell ref="A30:E30"/>
    <mergeCell ref="A31:E32"/>
    <mergeCell ref="A34:E34"/>
    <mergeCell ref="A44:E45"/>
    <mergeCell ref="B48:D50"/>
    <mergeCell ref="A54:E54"/>
    <mergeCell ref="A55:B55"/>
    <mergeCell ref="A63:B63"/>
    <mergeCell ref="A17:B17"/>
    <mergeCell ref="B3:D7"/>
    <mergeCell ref="A9:E9"/>
    <mergeCell ref="A10:E10"/>
    <mergeCell ref="A11:E11"/>
    <mergeCell ref="A16:B16"/>
  </mergeCells>
  <printOptions horizontalCentered="1"/>
  <pageMargins left="0.19685039370078741" right="0.19685039370078741" top="0" bottom="0" header="0" footer="0"/>
  <pageSetup scale="75" orientation="portrait" r:id="rId1"/>
  <rowBreaks count="1" manualBreakCount="1">
    <brk id="4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B1B05-0AEF-4898-AA0A-F87B171DA5FC}">
  <dimension ref="A2:E73"/>
  <sheetViews>
    <sheetView view="pageBreakPreview" zoomScale="90" zoomScaleNormal="100" zoomScaleSheetLayoutView="90" workbookViewId="0"/>
  </sheetViews>
  <sheetFormatPr defaultRowHeight="15.5" x14ac:dyDescent="0.35"/>
  <cols>
    <col min="1" max="1" width="27.1796875" style="1" customWidth="1"/>
    <col min="2" max="3" width="24.453125" style="1" customWidth="1"/>
    <col min="4" max="4" width="28.81640625" style="1" customWidth="1"/>
    <col min="5" max="5" width="24.453125" style="1" customWidth="1"/>
  </cols>
  <sheetData>
    <row r="2" spans="1:5" x14ac:dyDescent="0.35">
      <c r="A2" s="16"/>
      <c r="B2" s="19"/>
      <c r="C2" s="16"/>
      <c r="D2" s="16"/>
      <c r="E2" s="16"/>
    </row>
    <row r="3" spans="1:5" ht="15.5" customHeight="1" x14ac:dyDescent="0.35">
      <c r="A3" s="16"/>
      <c r="B3" s="73" t="str">
        <f>'Format - 2nd close R investors'!B3</f>
        <v>CLIENT NAME AND ADDRESS</v>
      </c>
      <c r="C3" s="74">
        <v>0</v>
      </c>
      <c r="D3" s="74">
        <v>0</v>
      </c>
      <c r="E3" s="16"/>
    </row>
    <row r="4" spans="1:5" x14ac:dyDescent="0.35">
      <c r="A4" s="16"/>
      <c r="B4" s="74">
        <v>0</v>
      </c>
      <c r="C4" s="74">
        <v>0</v>
      </c>
      <c r="D4" s="74">
        <v>0</v>
      </c>
      <c r="E4" s="16"/>
    </row>
    <row r="5" spans="1:5" x14ac:dyDescent="0.35">
      <c r="A5" s="16"/>
      <c r="B5" s="74">
        <v>0</v>
      </c>
      <c r="C5" s="74">
        <v>0</v>
      </c>
      <c r="D5" s="74">
        <v>0</v>
      </c>
      <c r="E5" s="16"/>
    </row>
    <row r="6" spans="1:5" x14ac:dyDescent="0.35">
      <c r="A6" s="16"/>
      <c r="B6" s="74">
        <v>0</v>
      </c>
      <c r="C6" s="74">
        <v>0</v>
      </c>
      <c r="D6" s="74">
        <v>0</v>
      </c>
      <c r="E6" s="16"/>
    </row>
    <row r="7" spans="1:5" x14ac:dyDescent="0.35">
      <c r="B7" s="74">
        <v>0</v>
      </c>
      <c r="C7" s="74">
        <v>0</v>
      </c>
      <c r="D7" s="74">
        <v>0</v>
      </c>
    </row>
    <row r="8" spans="1:5" x14ac:dyDescent="0.35">
      <c r="B8" s="16"/>
      <c r="C8" s="16"/>
      <c r="D8" s="16"/>
    </row>
    <row r="9" spans="1:5" ht="15" x14ac:dyDescent="0.35">
      <c r="A9" s="66" t="s">
        <v>5</v>
      </c>
      <c r="B9" s="66"/>
      <c r="C9" s="66"/>
      <c r="D9" s="66"/>
      <c r="E9" s="66"/>
    </row>
    <row r="10" spans="1:5" x14ac:dyDescent="0.35">
      <c r="A10" s="67" t="e">
        <f>CONCATENATE("Class: ",Working!#REF!)</f>
        <v>#REF!</v>
      </c>
      <c r="B10" s="67"/>
      <c r="C10" s="67"/>
      <c r="D10" s="67"/>
      <c r="E10" s="67"/>
    </row>
    <row r="11" spans="1:5" x14ac:dyDescent="0.35">
      <c r="A11" s="67" t="e">
        <f>CONCATENATE("Folio No.: ",Working!#REF!)</f>
        <v>#REF!</v>
      </c>
      <c r="B11" s="67"/>
      <c r="C11" s="67"/>
      <c r="D11" s="67"/>
      <c r="E11" s="67"/>
    </row>
    <row r="13" spans="1:5" x14ac:dyDescent="0.35">
      <c r="A13" s="55" t="str">
        <f>'Format - Resident investors'!A13</f>
        <v>Date: 11 June 2026</v>
      </c>
    </row>
    <row r="15" spans="1:5" x14ac:dyDescent="0.35">
      <c r="A15" s="1" t="s">
        <v>6</v>
      </c>
    </row>
    <row r="16" spans="1:5" x14ac:dyDescent="0.35">
      <c r="A16" s="68" t="e">
        <f>Working!#REF!</f>
        <v>#REF!</v>
      </c>
      <c r="B16" s="68"/>
    </row>
    <row r="17" spans="1:5" ht="31" customHeight="1" x14ac:dyDescent="0.35">
      <c r="A17" s="68" t="e">
        <f>Working!#REF!</f>
        <v>#REF!</v>
      </c>
      <c r="B17" s="68"/>
      <c r="C17" s="78"/>
      <c r="D17" s="78"/>
      <c r="E17" s="78"/>
    </row>
    <row r="19" spans="1:5" ht="15" customHeight="1" x14ac:dyDescent="0.35">
      <c r="A19" s="69" t="str">
        <f>'Format - Resident investors'!A19</f>
        <v>Re: Notice of 15th Drawdown for XYZ FUND ('the Fund')</v>
      </c>
      <c r="B19" s="69"/>
      <c r="C19" s="69"/>
      <c r="D19" s="69"/>
      <c r="E19" s="69"/>
    </row>
    <row r="21" spans="1:5" x14ac:dyDescent="0.35">
      <c r="A21" s="1" t="s">
        <v>75</v>
      </c>
    </row>
    <row r="23" spans="1:5" ht="14.5" customHeight="1" x14ac:dyDescent="0.35">
      <c r="A23" s="87" t="s">
        <v>125</v>
      </c>
      <c r="B23" s="87"/>
      <c r="C23" s="87"/>
      <c r="D23" s="87"/>
      <c r="E23" s="87"/>
    </row>
    <row r="24" spans="1:5" ht="32.15" customHeight="1" x14ac:dyDescent="0.35">
      <c r="A24" s="87"/>
      <c r="B24" s="87"/>
      <c r="C24" s="87"/>
      <c r="D24" s="87"/>
      <c r="E24" s="87"/>
    </row>
    <row r="25" spans="1:5" x14ac:dyDescent="0.35">
      <c r="A25" s="70" t="s">
        <v>7</v>
      </c>
      <c r="B25" s="70"/>
      <c r="C25" s="70"/>
      <c r="D25" s="70"/>
      <c r="E25" s="70"/>
    </row>
    <row r="27" spans="1:5" ht="62" x14ac:dyDescent="0.35">
      <c r="A27" s="12" t="str">
        <f>'Format - Resident investors'!A27</f>
        <v>Capital commitment to XYZ FUND
(INR)</v>
      </c>
      <c r="B27" s="12" t="str">
        <f>'Format - Resident investors'!B27</f>
        <v>Capital contributed till date 
(INR)</v>
      </c>
      <c r="C27" s="17" t="str">
        <f>'Format - Resident investors'!C27</f>
        <v>Capital contribution pursuant to the 15th Drawdown 
(INR)</v>
      </c>
      <c r="D27" s="17" t="str">
        <f>'Format - Resident investors'!D27</f>
        <v>Capital contribution (after adjustment, if any) pursuant to the 15th Drawdown 
(INR)</v>
      </c>
      <c r="E27" s="17" t="str">
        <f>'Format - Resident investors'!E27</f>
        <v>% of the Capital commitment drawn down till date</v>
      </c>
    </row>
    <row r="28" spans="1:5" x14ac:dyDescent="0.35">
      <c r="A28" s="56" t="e">
        <f>Working!#REF!</f>
        <v>#REF!</v>
      </c>
      <c r="B28" s="56" t="e">
        <f>Working!#REF!</f>
        <v>#REF!</v>
      </c>
      <c r="C28" s="56" t="e">
        <f>Working!#REF!</f>
        <v>#REF!</v>
      </c>
      <c r="D28" s="56" t="e">
        <f>Working!#REF!</f>
        <v>#REF!</v>
      </c>
      <c r="E28" s="57" t="e">
        <f>Working!#REF!</f>
        <v>#REF!</v>
      </c>
    </row>
    <row r="30" spans="1:5" ht="49" customHeight="1" x14ac:dyDescent="0.35">
      <c r="A30" s="71" t="str">
        <f>'Format - Resident investors'!A30</f>
        <v>The capital contribution for the current Drawdown will be applied towards portfolio investment in ABC Private Limited, Management Fees for the period 1st July 2026 to 30th September 2026 and Fund expenses.</v>
      </c>
      <c r="B30" s="71"/>
      <c r="C30" s="71"/>
      <c r="D30" s="71"/>
      <c r="E30" s="71"/>
    </row>
    <row r="31" spans="1:5" ht="14.5" x14ac:dyDescent="0.35">
      <c r="A31" s="72" t="str">
        <f>'Format - Resident investors'!A31</f>
        <v>The payment towards capital contribution for the 15th drawdown is to be made in the bank account of XYZ FUND within 15 Business Days from the date of issue of this Drawdown Notice i.e. on or before 30 June 2026</v>
      </c>
      <c r="B31" s="72"/>
      <c r="C31" s="72"/>
      <c r="D31" s="72"/>
      <c r="E31" s="72"/>
    </row>
    <row r="32" spans="1:5" ht="20.5" customHeight="1" x14ac:dyDescent="0.35">
      <c r="A32" s="72">
        <f>'Format - Resident investors'!A32</f>
        <v>0</v>
      </c>
      <c r="B32" s="72"/>
      <c r="C32" s="72"/>
      <c r="D32" s="72"/>
      <c r="E32" s="72"/>
    </row>
    <row r="34" spans="1:5" x14ac:dyDescent="0.35">
      <c r="A34" s="65" t="s">
        <v>88</v>
      </c>
      <c r="B34" s="65"/>
      <c r="C34" s="65"/>
      <c r="D34" s="65"/>
      <c r="E34" s="65"/>
    </row>
    <row r="36" spans="1:5" x14ac:dyDescent="0.35">
      <c r="A36" s="4" t="s">
        <v>84</v>
      </c>
      <c r="B36" s="59" t="e">
        <f>D28</f>
        <v>#REF!</v>
      </c>
      <c r="C36" s="21"/>
      <c r="D36" s="22"/>
      <c r="E36" s="6"/>
    </row>
    <row r="37" spans="1:5" x14ac:dyDescent="0.35">
      <c r="A37" s="4" t="s">
        <v>9</v>
      </c>
      <c r="B37" s="7" t="s">
        <v>149</v>
      </c>
      <c r="C37" s="21"/>
      <c r="D37" s="22"/>
      <c r="E37" s="8"/>
    </row>
    <row r="38" spans="1:5" x14ac:dyDescent="0.35">
      <c r="A38" s="4" t="s">
        <v>73</v>
      </c>
      <c r="B38" s="7"/>
      <c r="C38" s="21"/>
      <c r="D38" s="22"/>
      <c r="E38" s="8"/>
    </row>
    <row r="39" spans="1:5" x14ac:dyDescent="0.35">
      <c r="A39" s="4" t="s">
        <v>25</v>
      </c>
      <c r="B39" s="7"/>
      <c r="C39" s="21"/>
      <c r="D39" s="22"/>
      <c r="E39" s="8"/>
    </row>
    <row r="40" spans="1:5" x14ac:dyDescent="0.35">
      <c r="A40" s="4" t="s">
        <v>11</v>
      </c>
      <c r="B40" s="7"/>
      <c r="C40" s="21"/>
      <c r="D40" s="22"/>
      <c r="E40" s="8"/>
    </row>
    <row r="41" spans="1:5" x14ac:dyDescent="0.35">
      <c r="A41" s="4" t="s">
        <v>10</v>
      </c>
      <c r="B41" s="7"/>
      <c r="C41" s="21"/>
      <c r="D41" s="22"/>
      <c r="E41" s="8"/>
    </row>
    <row r="42" spans="1:5" x14ac:dyDescent="0.35">
      <c r="A42" s="4" t="s">
        <v>82</v>
      </c>
      <c r="B42" s="7"/>
      <c r="C42" s="8"/>
      <c r="D42" s="8"/>
      <c r="E42" s="8"/>
    </row>
    <row r="43" spans="1:5" x14ac:dyDescent="0.35">
      <c r="B43" s="8"/>
      <c r="C43" s="8"/>
      <c r="D43" s="8"/>
      <c r="E43" s="8"/>
    </row>
    <row r="44" spans="1:5" x14ac:dyDescent="0.35">
      <c r="A44" s="20" t="s">
        <v>83</v>
      </c>
      <c r="B44" s="16"/>
      <c r="C44" s="16"/>
      <c r="D44" s="16"/>
      <c r="E44" s="16"/>
    </row>
    <row r="45" spans="1:5" x14ac:dyDescent="0.35">
      <c r="A45" s="20"/>
      <c r="B45" s="16"/>
      <c r="C45" s="16"/>
      <c r="D45" s="16"/>
      <c r="E45" s="16"/>
    </row>
    <row r="46" spans="1:5" ht="65.150000000000006" customHeight="1" x14ac:dyDescent="0.35">
      <c r="A46" s="65" t="s">
        <v>154</v>
      </c>
      <c r="B46" s="65"/>
      <c r="C46" s="65"/>
      <c r="D46" s="16"/>
      <c r="E46" s="16"/>
    </row>
    <row r="47" spans="1:5" x14ac:dyDescent="0.35">
      <c r="D47" s="16"/>
      <c r="E47" s="16"/>
    </row>
    <row r="48" spans="1:5" x14ac:dyDescent="0.35">
      <c r="D48" s="16"/>
      <c r="E48" s="16"/>
    </row>
    <row r="49" spans="1:5" x14ac:dyDescent="0.35">
      <c r="D49" s="16"/>
      <c r="E49" s="16"/>
    </row>
    <row r="50" spans="1:5" ht="15.5" customHeight="1" x14ac:dyDescent="0.35">
      <c r="B50" s="73" t="str">
        <f>B3</f>
        <v>CLIENT NAME AND ADDRESS</v>
      </c>
      <c r="C50" s="74"/>
      <c r="D50" s="74"/>
      <c r="E50" s="16"/>
    </row>
    <row r="51" spans="1:5" x14ac:dyDescent="0.35">
      <c r="B51" s="74"/>
      <c r="C51" s="74"/>
      <c r="D51" s="74"/>
      <c r="E51" s="16"/>
    </row>
    <row r="52" spans="1:5" x14ac:dyDescent="0.35">
      <c r="A52" s="11"/>
      <c r="B52" s="74"/>
      <c r="C52" s="74"/>
      <c r="D52" s="74"/>
      <c r="E52" s="16"/>
    </row>
    <row r="53" spans="1:5" x14ac:dyDescent="0.35">
      <c r="B53" s="74"/>
      <c r="C53" s="74"/>
      <c r="D53" s="74"/>
      <c r="E53" s="16"/>
    </row>
    <row r="54" spans="1:5" x14ac:dyDescent="0.35">
      <c r="A54" s="11"/>
      <c r="B54" s="54"/>
      <c r="C54" s="54"/>
      <c r="D54" s="54"/>
      <c r="E54" s="3"/>
    </row>
    <row r="55" spans="1:5" x14ac:dyDescent="0.35">
      <c r="B55" s="23"/>
      <c r="C55" s="23"/>
      <c r="D55" s="23"/>
      <c r="E55" s="16"/>
    </row>
    <row r="56" spans="1:5" x14ac:dyDescent="0.35">
      <c r="B56" s="8"/>
      <c r="C56" s="8"/>
      <c r="D56" s="8"/>
      <c r="E56" s="8"/>
    </row>
    <row r="57" spans="1:5" ht="14.5" x14ac:dyDescent="0.35">
      <c r="A57" s="70" t="s">
        <v>85</v>
      </c>
      <c r="B57" s="70"/>
      <c r="C57" s="70"/>
      <c r="D57" s="70"/>
      <c r="E57" s="70"/>
    </row>
    <row r="58" spans="1:5" ht="23.15" customHeight="1" x14ac:dyDescent="0.35">
      <c r="A58" s="70"/>
      <c r="B58" s="70"/>
      <c r="C58" s="70"/>
      <c r="D58" s="70"/>
      <c r="E58" s="70"/>
    </row>
    <row r="59" spans="1:5" x14ac:dyDescent="0.35">
      <c r="A59" s="9"/>
      <c r="B59" s="9"/>
      <c r="C59" s="9"/>
      <c r="D59" s="9"/>
      <c r="E59" s="9"/>
    </row>
    <row r="60" spans="1:5" x14ac:dyDescent="0.35">
      <c r="A60" s="68" t="s">
        <v>153</v>
      </c>
      <c r="B60" s="68"/>
      <c r="C60" s="68"/>
      <c r="D60" s="68"/>
      <c r="E60" s="68"/>
    </row>
    <row r="61" spans="1:5" x14ac:dyDescent="0.35">
      <c r="A61" s="76" t="s">
        <v>76</v>
      </c>
      <c r="B61" s="76"/>
      <c r="C61" s="9"/>
      <c r="D61" s="9"/>
      <c r="E61" s="9"/>
    </row>
    <row r="62" spans="1:5" x14ac:dyDescent="0.35">
      <c r="A62" s="18" t="s">
        <v>77</v>
      </c>
      <c r="B62" s="9"/>
      <c r="C62" s="9"/>
      <c r="D62" s="9"/>
      <c r="E62" s="9"/>
    </row>
    <row r="63" spans="1:5" x14ac:dyDescent="0.35">
      <c r="A63" s="18" t="s">
        <v>78</v>
      </c>
      <c r="B63" s="9"/>
      <c r="C63" s="9"/>
      <c r="D63" s="9"/>
      <c r="E63" s="9"/>
    </row>
    <row r="64" spans="1:5" x14ac:dyDescent="0.35">
      <c r="A64" s="18" t="s">
        <v>79</v>
      </c>
      <c r="B64" s="9"/>
      <c r="C64" s="9"/>
      <c r="D64" s="9"/>
      <c r="E64" s="9"/>
    </row>
    <row r="65" spans="1:5" x14ac:dyDescent="0.35">
      <c r="A65" s="16"/>
      <c r="B65" s="16"/>
      <c r="C65" s="16"/>
      <c r="D65" s="16"/>
      <c r="E65" s="16"/>
    </row>
    <row r="66" spans="1:5" x14ac:dyDescent="0.35">
      <c r="A66" s="20" t="s">
        <v>80</v>
      </c>
      <c r="B66" s="16"/>
      <c r="C66" s="16"/>
      <c r="D66" s="16"/>
      <c r="E66" s="16"/>
    </row>
    <row r="67" spans="1:5" x14ac:dyDescent="0.35">
      <c r="A67" s="16"/>
      <c r="B67" s="16"/>
      <c r="C67" s="16"/>
      <c r="D67" s="16"/>
      <c r="E67" s="16"/>
    </row>
    <row r="68" spans="1:5" x14ac:dyDescent="0.35">
      <c r="A68" s="1" t="s">
        <v>72</v>
      </c>
      <c r="C68" s="9"/>
      <c r="D68" s="9"/>
      <c r="E68" s="9"/>
    </row>
    <row r="69" spans="1:5" ht="32" customHeight="1" x14ac:dyDescent="0.35">
      <c r="A69" s="75" t="str">
        <f>'Format - 2nd close R investors'!A63</f>
        <v>For ___________________LLP
(On behalf of  XYZ FUND)</v>
      </c>
      <c r="B69" s="75"/>
    </row>
    <row r="70" spans="1:5" x14ac:dyDescent="0.35">
      <c r="C70" s="9"/>
      <c r="D70" s="9"/>
      <c r="E70" s="9"/>
    </row>
    <row r="72" spans="1:5" x14ac:dyDescent="0.35">
      <c r="A72" s="65" t="str">
        <f>'Format - 2nd close R investors'!A66</f>
        <v>Sd/-
Designated Partner</v>
      </c>
      <c r="B72" s="65"/>
      <c r="C72" s="9"/>
      <c r="D72" s="9"/>
      <c r="E72" s="9"/>
    </row>
    <row r="73" spans="1:5" ht="34.5" customHeight="1" x14ac:dyDescent="0.35">
      <c r="A73" s="65"/>
      <c r="B73" s="65"/>
      <c r="C73" s="9"/>
      <c r="D73" s="9"/>
      <c r="E73" s="9"/>
    </row>
  </sheetData>
  <mergeCells count="20">
    <mergeCell ref="A72:B73"/>
    <mergeCell ref="A46:C46"/>
    <mergeCell ref="B50:D53"/>
    <mergeCell ref="A57:E58"/>
    <mergeCell ref="A60:E60"/>
    <mergeCell ref="A61:B61"/>
    <mergeCell ref="A69:B69"/>
    <mergeCell ref="A34:E34"/>
    <mergeCell ref="B3:D7"/>
    <mergeCell ref="A9:E9"/>
    <mergeCell ref="A10:E10"/>
    <mergeCell ref="A11:E11"/>
    <mergeCell ref="A16:B16"/>
    <mergeCell ref="A17:B17"/>
    <mergeCell ref="C17:E17"/>
    <mergeCell ref="A19:E19"/>
    <mergeCell ref="A23:E24"/>
    <mergeCell ref="A25:E25"/>
    <mergeCell ref="A30:E30"/>
    <mergeCell ref="A31:E32"/>
  </mergeCells>
  <printOptions horizontalCentered="1"/>
  <pageMargins left="0" right="0" top="0.19685039370078741" bottom="0.19685039370078741" header="0" footer="0"/>
  <pageSetup scale="78" orientation="portrait" r:id="rId1"/>
  <rowBreaks count="1" manualBreakCount="1">
    <brk id="47" max="4"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F392-854F-4B0D-9B1C-FBBCB73E1035}">
  <dimension ref="A2:E73"/>
  <sheetViews>
    <sheetView view="pageBreakPreview" zoomScale="90" zoomScaleNormal="100" zoomScaleSheetLayoutView="90" workbookViewId="0"/>
  </sheetViews>
  <sheetFormatPr defaultRowHeight="15.5" x14ac:dyDescent="0.35"/>
  <cols>
    <col min="1" max="1" width="27.1796875" style="1" customWidth="1"/>
    <col min="2" max="3" width="24.453125" style="1" customWidth="1"/>
    <col min="4" max="4" width="28.81640625" style="1" customWidth="1"/>
    <col min="5" max="5" width="24.453125" style="1" customWidth="1"/>
  </cols>
  <sheetData>
    <row r="2" spans="1:5" x14ac:dyDescent="0.35">
      <c r="A2" s="16"/>
      <c r="B2" s="19"/>
      <c r="C2" s="16"/>
      <c r="D2" s="16"/>
      <c r="E2" s="16"/>
    </row>
    <row r="3" spans="1:5" ht="15.5" customHeight="1" x14ac:dyDescent="0.35">
      <c r="A3" s="16"/>
      <c r="B3" s="73" t="str">
        <f>'Format - 2nd close NR investors'!B50</f>
        <v>CLIENT NAME AND ADDRESS</v>
      </c>
      <c r="C3" s="74"/>
      <c r="D3" s="74"/>
      <c r="E3" s="16"/>
    </row>
    <row r="4" spans="1:5" x14ac:dyDescent="0.35">
      <c r="A4" s="16"/>
      <c r="B4" s="74"/>
      <c r="C4" s="74"/>
      <c r="D4" s="74"/>
      <c r="E4" s="16"/>
    </row>
    <row r="5" spans="1:5" x14ac:dyDescent="0.35">
      <c r="A5" s="16"/>
      <c r="B5" s="74"/>
      <c r="C5" s="74"/>
      <c r="D5" s="74"/>
      <c r="E5" s="16"/>
    </row>
    <row r="6" spans="1:5" x14ac:dyDescent="0.35">
      <c r="A6" s="16"/>
      <c r="B6" s="74"/>
      <c r="C6" s="74"/>
      <c r="D6" s="74"/>
      <c r="E6" s="16"/>
    </row>
    <row r="7" spans="1:5" ht="28" x14ac:dyDescent="0.35">
      <c r="B7" s="73"/>
      <c r="C7" s="74"/>
      <c r="D7" s="74"/>
    </row>
    <row r="8" spans="1:5" x14ac:dyDescent="0.35">
      <c r="B8" s="16"/>
      <c r="C8" s="16"/>
      <c r="D8" s="16"/>
    </row>
    <row r="9" spans="1:5" ht="15" x14ac:dyDescent="0.35">
      <c r="A9" s="66" t="s">
        <v>5</v>
      </c>
      <c r="B9" s="66"/>
      <c r="C9" s="66"/>
      <c r="D9" s="66"/>
      <c r="E9" s="66"/>
    </row>
    <row r="10" spans="1:5" x14ac:dyDescent="0.35">
      <c r="A10" s="67" t="e">
        <f>CONCATENATE("Class: ",Working!#REF!)</f>
        <v>#REF!</v>
      </c>
      <c r="B10" s="67"/>
      <c r="C10" s="67"/>
      <c r="D10" s="67"/>
      <c r="E10" s="67"/>
    </row>
    <row r="11" spans="1:5" x14ac:dyDescent="0.35">
      <c r="A11" s="67" t="e">
        <f>CONCATENATE("Folio No.: ",Working!#REF!)</f>
        <v>#REF!</v>
      </c>
      <c r="B11" s="67"/>
      <c r="C11" s="67"/>
      <c r="D11" s="67"/>
      <c r="E11" s="67"/>
    </row>
    <row r="13" spans="1:5" x14ac:dyDescent="0.35">
      <c r="A13" s="55" t="str">
        <f>'Format - Resident investors'!A13</f>
        <v>Date: 11 June 2026</v>
      </c>
    </row>
    <row r="15" spans="1:5" x14ac:dyDescent="0.35">
      <c r="A15" s="1" t="s">
        <v>6</v>
      </c>
    </row>
    <row r="16" spans="1:5" x14ac:dyDescent="0.35">
      <c r="A16" s="68" t="e">
        <f>Working!#REF!</f>
        <v>#REF!</v>
      </c>
      <c r="B16" s="68"/>
    </row>
    <row r="17" spans="1:5" ht="31" customHeight="1" x14ac:dyDescent="0.35">
      <c r="A17" s="68" t="e">
        <f>Working!#REF!</f>
        <v>#REF!</v>
      </c>
      <c r="B17" s="68"/>
      <c r="C17" s="78"/>
      <c r="D17" s="78"/>
      <c r="E17" s="78"/>
    </row>
    <row r="19" spans="1:5" ht="15" customHeight="1" x14ac:dyDescent="0.35">
      <c r="A19" s="69" t="str">
        <f>'Format - Resident investors'!A19</f>
        <v>Re: Notice of 15th Drawdown for XYZ FUND ('the Fund')</v>
      </c>
      <c r="B19" s="69">
        <f>'Format - Resident investors'!B19</f>
        <v>0</v>
      </c>
      <c r="C19" s="69">
        <f>'Format - Resident investors'!C19</f>
        <v>0</v>
      </c>
      <c r="D19" s="69">
        <f>'Format - Resident investors'!D19</f>
        <v>0</v>
      </c>
      <c r="E19" s="69">
        <f>'Format - Resident investors'!E19</f>
        <v>0</v>
      </c>
    </row>
    <row r="21" spans="1:5" x14ac:dyDescent="0.35">
      <c r="A21" s="1" t="s">
        <v>75</v>
      </c>
    </row>
    <row r="23" spans="1:5" ht="14.5" customHeight="1" x14ac:dyDescent="0.35">
      <c r="A23" s="87" t="s">
        <v>126</v>
      </c>
      <c r="B23" s="87"/>
      <c r="C23" s="87"/>
      <c r="D23" s="87"/>
      <c r="E23" s="87"/>
    </row>
    <row r="24" spans="1:5" ht="32.15" customHeight="1" x14ac:dyDescent="0.35">
      <c r="A24" s="87"/>
      <c r="B24" s="87"/>
      <c r="C24" s="87"/>
      <c r="D24" s="87"/>
      <c r="E24" s="87"/>
    </row>
    <row r="25" spans="1:5" x14ac:dyDescent="0.35">
      <c r="A25" s="70" t="s">
        <v>7</v>
      </c>
      <c r="B25" s="70"/>
      <c r="C25" s="70"/>
      <c r="D25" s="70"/>
      <c r="E25" s="70"/>
    </row>
    <row r="27" spans="1:5" ht="62" x14ac:dyDescent="0.35">
      <c r="A27" s="12" t="str">
        <f>'Format - Resident investors'!A27</f>
        <v>Capital commitment to XYZ FUND
(INR)</v>
      </c>
      <c r="B27" s="12" t="str">
        <f>'Format - Resident investors'!B27</f>
        <v>Capital contributed till date 
(INR)</v>
      </c>
      <c r="C27" s="17" t="str">
        <f>'Format - Resident investors'!C27</f>
        <v>Capital contribution pursuant to the 15th Drawdown 
(INR)</v>
      </c>
      <c r="D27" s="17" t="str">
        <f>'Format - Resident investors'!D27</f>
        <v>Capital contribution (after adjustment, if any) pursuant to the 15th Drawdown 
(INR)</v>
      </c>
      <c r="E27" s="17" t="str">
        <f>'Format - Resident investors'!E27</f>
        <v>% of the Capital commitment drawn down till date</v>
      </c>
    </row>
    <row r="28" spans="1:5" x14ac:dyDescent="0.35">
      <c r="A28" s="56" t="e">
        <f>Working!#REF!</f>
        <v>#REF!</v>
      </c>
      <c r="B28" s="56" t="e">
        <f>Working!#REF!</f>
        <v>#REF!</v>
      </c>
      <c r="C28" s="56" t="e">
        <f>Working!#REF!</f>
        <v>#REF!</v>
      </c>
      <c r="D28" s="56" t="e">
        <f>Working!#REF!</f>
        <v>#REF!</v>
      </c>
      <c r="E28" s="57" t="e">
        <f>Working!#REF!</f>
        <v>#REF!</v>
      </c>
    </row>
    <row r="30" spans="1:5" ht="49" customHeight="1" x14ac:dyDescent="0.35">
      <c r="A30" s="71" t="str">
        <f>'Format - Resident investors'!A30</f>
        <v>The capital contribution for the current Drawdown will be applied towards portfolio investment in ABC Private Limited, Management Fees for the period 1st July 2026 to 30th September 2026 and Fund expenses.</v>
      </c>
      <c r="B30" s="71">
        <f>'Format - Resident investors'!B30</f>
        <v>0</v>
      </c>
      <c r="C30" s="71">
        <f>'Format - Resident investors'!C30</f>
        <v>0</v>
      </c>
      <c r="D30" s="71">
        <f>'Format - Resident investors'!D30</f>
        <v>0</v>
      </c>
      <c r="E30" s="71">
        <f>'Format - Resident investors'!E30</f>
        <v>0</v>
      </c>
    </row>
    <row r="31" spans="1:5" ht="14.5" x14ac:dyDescent="0.35">
      <c r="A31" s="72" t="str">
        <f>'Format - Resident investors'!A31</f>
        <v>The payment towards capital contribution for the 15th drawdown is to be made in the bank account of XYZ FUND within 15 Business Days from the date of issue of this Drawdown Notice i.e. on or before 30 June 2026</v>
      </c>
      <c r="B31" s="72">
        <f>'Format - Resident investors'!B31</f>
        <v>0</v>
      </c>
      <c r="C31" s="72">
        <f>'Format - Resident investors'!C31</f>
        <v>0</v>
      </c>
      <c r="D31" s="72">
        <f>'Format - Resident investors'!D31</f>
        <v>0</v>
      </c>
      <c r="E31" s="72">
        <f>'Format - Resident investors'!E31</f>
        <v>0</v>
      </c>
    </row>
    <row r="32" spans="1:5" ht="20.5" customHeight="1" x14ac:dyDescent="0.35">
      <c r="A32" s="72">
        <f>'Format - Resident investors'!A32</f>
        <v>0</v>
      </c>
      <c r="B32" s="72">
        <f>'Format - Resident investors'!B32</f>
        <v>0</v>
      </c>
      <c r="C32" s="72">
        <f>'Format - Resident investors'!C32</f>
        <v>0</v>
      </c>
      <c r="D32" s="72">
        <f>'Format - Resident investors'!D32</f>
        <v>0</v>
      </c>
      <c r="E32" s="72">
        <f>'Format - Resident investors'!E32</f>
        <v>0</v>
      </c>
    </row>
    <row r="34" spans="1:5" x14ac:dyDescent="0.35">
      <c r="A34" s="65" t="s">
        <v>88</v>
      </c>
      <c r="B34" s="65"/>
      <c r="C34" s="65"/>
      <c r="D34" s="65"/>
      <c r="E34" s="65"/>
    </row>
    <row r="36" spans="1:5" x14ac:dyDescent="0.35">
      <c r="A36" s="4" t="s">
        <v>84</v>
      </c>
      <c r="B36" s="59" t="e">
        <f>D28</f>
        <v>#REF!</v>
      </c>
      <c r="C36" s="21"/>
      <c r="D36" s="22"/>
      <c r="E36" s="6"/>
    </row>
    <row r="37" spans="1:5" x14ac:dyDescent="0.35">
      <c r="A37" s="4" t="s">
        <v>9</v>
      </c>
      <c r="B37" s="7" t="s">
        <v>149</v>
      </c>
      <c r="C37" s="21"/>
      <c r="D37" s="22"/>
      <c r="E37" s="8"/>
    </row>
    <row r="38" spans="1:5" x14ac:dyDescent="0.35">
      <c r="A38" s="4" t="s">
        <v>73</v>
      </c>
      <c r="B38" s="7"/>
      <c r="C38" s="21"/>
      <c r="D38" s="22"/>
      <c r="E38" s="8"/>
    </row>
    <row r="39" spans="1:5" x14ac:dyDescent="0.35">
      <c r="A39" s="4" t="s">
        <v>25</v>
      </c>
      <c r="B39" s="7"/>
      <c r="C39" s="21"/>
      <c r="D39" s="22"/>
      <c r="E39" s="8"/>
    </row>
    <row r="40" spans="1:5" x14ac:dyDescent="0.35">
      <c r="A40" s="4" t="s">
        <v>11</v>
      </c>
      <c r="B40" s="7"/>
      <c r="C40" s="21"/>
      <c r="D40" s="22"/>
      <c r="E40" s="8"/>
    </row>
    <row r="41" spans="1:5" x14ac:dyDescent="0.35">
      <c r="A41" s="4" t="s">
        <v>10</v>
      </c>
      <c r="B41" s="7"/>
      <c r="C41" s="21"/>
      <c r="D41" s="22"/>
      <c r="E41" s="8"/>
    </row>
    <row r="42" spans="1:5" x14ac:dyDescent="0.35">
      <c r="A42" s="4" t="s">
        <v>82</v>
      </c>
      <c r="B42" s="7"/>
      <c r="C42" s="8"/>
      <c r="D42" s="8"/>
      <c r="E42" s="8"/>
    </row>
    <row r="43" spans="1:5" x14ac:dyDescent="0.35">
      <c r="B43" s="8"/>
      <c r="C43" s="8"/>
      <c r="D43" s="8"/>
      <c r="E43" s="8"/>
    </row>
    <row r="44" spans="1:5" x14ac:dyDescent="0.35">
      <c r="A44" s="20" t="s">
        <v>83</v>
      </c>
      <c r="B44" s="16"/>
      <c r="C44" s="16"/>
      <c r="D44" s="16"/>
      <c r="E44" s="16"/>
    </row>
    <row r="45" spans="1:5" x14ac:dyDescent="0.35">
      <c r="A45" s="20"/>
      <c r="B45" s="16"/>
      <c r="C45" s="16"/>
      <c r="D45" s="16"/>
      <c r="E45" s="16"/>
    </row>
    <row r="46" spans="1:5" ht="65.150000000000006" customHeight="1" x14ac:dyDescent="0.35">
      <c r="A46" s="65" t="s">
        <v>154</v>
      </c>
      <c r="B46" s="65"/>
      <c r="C46" s="65"/>
      <c r="D46" s="16"/>
      <c r="E46" s="16"/>
    </row>
    <row r="47" spans="1:5" x14ac:dyDescent="0.35">
      <c r="D47" s="16"/>
      <c r="E47" s="16"/>
    </row>
    <row r="48" spans="1:5" x14ac:dyDescent="0.35">
      <c r="D48" s="16"/>
      <c r="E48" s="16"/>
    </row>
    <row r="49" spans="1:5" x14ac:dyDescent="0.35">
      <c r="D49" s="16"/>
      <c r="E49" s="16"/>
    </row>
    <row r="50" spans="1:5" ht="15.5" customHeight="1" x14ac:dyDescent="0.35">
      <c r="B50" s="73" t="str">
        <f>B3</f>
        <v>CLIENT NAME AND ADDRESS</v>
      </c>
      <c r="C50" s="74"/>
      <c r="D50" s="74"/>
      <c r="E50" s="16"/>
    </row>
    <row r="51" spans="1:5" x14ac:dyDescent="0.35">
      <c r="B51" s="74"/>
      <c r="C51" s="74"/>
      <c r="D51" s="74"/>
      <c r="E51" s="16"/>
    </row>
    <row r="52" spans="1:5" x14ac:dyDescent="0.35">
      <c r="A52" s="11"/>
      <c r="B52" s="74"/>
      <c r="C52" s="74"/>
      <c r="D52" s="74"/>
      <c r="E52" s="16"/>
    </row>
    <row r="53" spans="1:5" x14ac:dyDescent="0.35">
      <c r="B53" s="74"/>
      <c r="C53" s="74"/>
      <c r="D53" s="74"/>
      <c r="E53" s="16"/>
    </row>
    <row r="54" spans="1:5" x14ac:dyDescent="0.35">
      <c r="A54" s="11"/>
      <c r="B54" s="54"/>
      <c r="C54" s="54"/>
      <c r="D54" s="54"/>
      <c r="E54" s="3"/>
    </row>
    <row r="55" spans="1:5" x14ac:dyDescent="0.35">
      <c r="B55" s="23"/>
      <c r="C55" s="23"/>
      <c r="D55" s="23"/>
      <c r="E55" s="16"/>
    </row>
    <row r="56" spans="1:5" x14ac:dyDescent="0.35">
      <c r="B56" s="8"/>
      <c r="C56" s="8"/>
      <c r="D56" s="8"/>
      <c r="E56" s="8"/>
    </row>
    <row r="57" spans="1:5" ht="14.5" x14ac:dyDescent="0.35">
      <c r="A57" s="70" t="s">
        <v>85</v>
      </c>
      <c r="B57" s="70"/>
      <c r="C57" s="70"/>
      <c r="D57" s="70"/>
      <c r="E57" s="70"/>
    </row>
    <row r="58" spans="1:5" ht="20.5" customHeight="1" x14ac:dyDescent="0.35">
      <c r="A58" s="70"/>
      <c r="B58" s="70"/>
      <c r="C58" s="70"/>
      <c r="D58" s="70"/>
      <c r="E58" s="70"/>
    </row>
    <row r="59" spans="1:5" x14ac:dyDescent="0.35">
      <c r="A59" s="9"/>
      <c r="B59" s="9"/>
      <c r="C59" s="9"/>
      <c r="D59" s="9"/>
      <c r="E59" s="9"/>
    </row>
    <row r="60" spans="1:5" x14ac:dyDescent="0.35">
      <c r="A60" s="68" t="s">
        <v>164</v>
      </c>
      <c r="B60" s="68"/>
      <c r="C60" s="68"/>
      <c r="D60" s="68"/>
      <c r="E60" s="68"/>
    </row>
    <row r="61" spans="1:5" x14ac:dyDescent="0.35">
      <c r="A61" s="76" t="s">
        <v>76</v>
      </c>
      <c r="B61" s="76"/>
      <c r="C61" s="9"/>
      <c r="D61" s="9"/>
      <c r="E61" s="9"/>
    </row>
    <row r="62" spans="1:5" x14ac:dyDescent="0.35">
      <c r="A62" s="18" t="s">
        <v>77</v>
      </c>
      <c r="B62" s="9"/>
      <c r="C62" s="9"/>
      <c r="D62" s="9"/>
      <c r="E62" s="9"/>
    </row>
    <row r="63" spans="1:5" x14ac:dyDescent="0.35">
      <c r="A63" s="18" t="s">
        <v>78</v>
      </c>
      <c r="B63" s="9"/>
      <c r="C63" s="9"/>
      <c r="D63" s="9"/>
      <c r="E63" s="9"/>
    </row>
    <row r="64" spans="1:5" x14ac:dyDescent="0.35">
      <c r="A64" s="18" t="s">
        <v>79</v>
      </c>
      <c r="B64" s="9"/>
      <c r="C64" s="9"/>
      <c r="D64" s="9"/>
      <c r="E64" s="9"/>
    </row>
    <row r="65" spans="1:5" x14ac:dyDescent="0.35">
      <c r="A65" s="16"/>
      <c r="B65" s="16"/>
      <c r="C65" s="16"/>
      <c r="D65" s="16"/>
      <c r="E65" s="16"/>
    </row>
    <row r="66" spans="1:5" x14ac:dyDescent="0.35">
      <c r="A66" s="20" t="s">
        <v>80</v>
      </c>
      <c r="B66" s="16"/>
      <c r="C66" s="16"/>
      <c r="D66" s="16"/>
      <c r="E66" s="16"/>
    </row>
    <row r="67" spans="1:5" x14ac:dyDescent="0.35">
      <c r="A67" s="16"/>
      <c r="B67" s="16"/>
      <c r="C67" s="16"/>
      <c r="D67" s="16"/>
      <c r="E67" s="16"/>
    </row>
    <row r="68" spans="1:5" x14ac:dyDescent="0.35">
      <c r="A68" s="1" t="s">
        <v>72</v>
      </c>
      <c r="C68" s="9"/>
      <c r="D68" s="9"/>
      <c r="E68" s="9"/>
    </row>
    <row r="69" spans="1:5" ht="35" customHeight="1" x14ac:dyDescent="0.35">
      <c r="A69" s="75" t="str">
        <f>'Format - 2nd close NR investors'!A69</f>
        <v>For ___________________LLP
(On behalf of  XYZ FUND)</v>
      </c>
      <c r="B69" s="75"/>
    </row>
    <row r="70" spans="1:5" x14ac:dyDescent="0.35">
      <c r="C70" s="9"/>
      <c r="D70" s="9"/>
      <c r="E70" s="9"/>
    </row>
    <row r="72" spans="1:5" x14ac:dyDescent="0.35">
      <c r="A72" s="65" t="str">
        <f>'Format - 2nd close NR investors'!A72</f>
        <v>Sd/-
Designated Partner</v>
      </c>
      <c r="B72" s="65"/>
      <c r="C72" s="9"/>
      <c r="D72" s="9"/>
      <c r="E72" s="9"/>
    </row>
    <row r="73" spans="1:5" ht="37.5" customHeight="1" x14ac:dyDescent="0.35">
      <c r="A73" s="65"/>
      <c r="B73" s="65"/>
      <c r="C73" s="9"/>
      <c r="D73" s="9"/>
      <c r="E73" s="9"/>
    </row>
  </sheetData>
  <mergeCells count="21">
    <mergeCell ref="B3:D6"/>
    <mergeCell ref="B7:D7"/>
    <mergeCell ref="A31:E32"/>
    <mergeCell ref="A9:E9"/>
    <mergeCell ref="A10:E10"/>
    <mergeCell ref="A11:E11"/>
    <mergeCell ref="A16:B16"/>
    <mergeCell ref="A17:B17"/>
    <mergeCell ref="C17:E17"/>
    <mergeCell ref="A19:E19"/>
    <mergeCell ref="A23:E24"/>
    <mergeCell ref="A25:E25"/>
    <mergeCell ref="A30:E30"/>
    <mergeCell ref="A69:B69"/>
    <mergeCell ref="A72:B73"/>
    <mergeCell ref="A34:E34"/>
    <mergeCell ref="A46:C46"/>
    <mergeCell ref="B50:D53"/>
    <mergeCell ref="A57:E58"/>
    <mergeCell ref="A60:E60"/>
    <mergeCell ref="A61:B61"/>
  </mergeCells>
  <printOptions horizontalCentered="1"/>
  <pageMargins left="0" right="0" top="0.19685039370078741" bottom="0.19685039370078741" header="0" footer="0"/>
  <pageSetup scale="78" orientation="portrait" r:id="rId1"/>
  <rowBreaks count="1" manualBreakCount="1">
    <brk id="47" max="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83BFD-33D9-4DCD-A1F3-946BB256167D}">
  <dimension ref="A2:E66"/>
  <sheetViews>
    <sheetView view="pageBreakPreview" topLeftCell="C38" zoomScale="90" zoomScaleNormal="100" zoomScaleSheetLayoutView="90" workbookViewId="0">
      <selection activeCell="E66" sqref="E66"/>
    </sheetView>
  </sheetViews>
  <sheetFormatPr defaultRowHeight="15.5" x14ac:dyDescent="0.35"/>
  <cols>
    <col min="1" max="1" width="26.453125" style="1" customWidth="1"/>
    <col min="2" max="3" width="24.453125" style="1" customWidth="1"/>
    <col min="4" max="4" width="28.81640625" style="1" customWidth="1"/>
    <col min="5" max="5" width="24.453125" style="1" customWidth="1"/>
  </cols>
  <sheetData>
    <row r="2" spans="1:5" x14ac:dyDescent="0.35">
      <c r="A2" s="16"/>
      <c r="B2" s="19"/>
      <c r="C2" s="16"/>
      <c r="D2" s="16"/>
      <c r="E2" s="16"/>
    </row>
    <row r="3" spans="1:5" ht="15.5" customHeight="1" x14ac:dyDescent="0.35">
      <c r="A3" s="16"/>
      <c r="B3" s="73" t="str">
        <f>'Format - 3rd close NR inves'!B3</f>
        <v>CLIENT NAME AND ADDRESS</v>
      </c>
      <c r="C3" s="74"/>
      <c r="D3" s="74"/>
      <c r="E3" s="16"/>
    </row>
    <row r="4" spans="1:5" x14ac:dyDescent="0.35">
      <c r="A4" s="16"/>
      <c r="B4" s="74"/>
      <c r="C4" s="74"/>
      <c r="D4" s="74"/>
      <c r="E4" s="16"/>
    </row>
    <row r="5" spans="1:5" x14ac:dyDescent="0.35">
      <c r="A5" s="16"/>
      <c r="B5" s="74"/>
      <c r="C5" s="74"/>
      <c r="D5" s="74"/>
      <c r="E5" s="16"/>
    </row>
    <row r="6" spans="1:5" x14ac:dyDescent="0.35">
      <c r="A6" s="16"/>
      <c r="B6" s="74"/>
      <c r="C6" s="74"/>
      <c r="D6" s="74"/>
      <c r="E6" s="16"/>
    </row>
    <row r="7" spans="1:5" ht="28" x14ac:dyDescent="0.35">
      <c r="B7" s="73"/>
      <c r="C7" s="74"/>
      <c r="D7" s="74"/>
    </row>
    <row r="8" spans="1:5" x14ac:dyDescent="0.35">
      <c r="B8" s="16"/>
      <c r="C8" s="16"/>
      <c r="D8" s="16"/>
    </row>
    <row r="9" spans="1:5" ht="15" x14ac:dyDescent="0.35">
      <c r="A9" s="66" t="s">
        <v>5</v>
      </c>
      <c r="B9" s="66"/>
      <c r="C9" s="66"/>
      <c r="D9" s="66"/>
      <c r="E9" s="66"/>
    </row>
    <row r="10" spans="1:5" x14ac:dyDescent="0.35">
      <c r="A10" s="67" t="e">
        <f>CONCATENATE("Class: ",Working!#REF!)</f>
        <v>#REF!</v>
      </c>
      <c r="B10" s="67"/>
      <c r="C10" s="67"/>
      <c r="D10" s="67"/>
      <c r="E10" s="67"/>
    </row>
    <row r="11" spans="1:5" x14ac:dyDescent="0.35">
      <c r="A11" s="67" t="e">
        <f>CONCATENATE("Folio No.: ",Working!#REF!)</f>
        <v>#REF!</v>
      </c>
      <c r="B11" s="67"/>
      <c r="C11" s="67"/>
      <c r="D11" s="67"/>
      <c r="E11" s="67"/>
    </row>
    <row r="13" spans="1:5" x14ac:dyDescent="0.35">
      <c r="A13" s="55" t="str">
        <f>'Format - 3rd close NR inves'!A13</f>
        <v>Date: 11 June 2026</v>
      </c>
    </row>
    <row r="15" spans="1:5" x14ac:dyDescent="0.35">
      <c r="A15" s="1" t="s">
        <v>6</v>
      </c>
    </row>
    <row r="16" spans="1:5" x14ac:dyDescent="0.35">
      <c r="A16" s="68" t="e">
        <f>Working!#REF!</f>
        <v>#REF!</v>
      </c>
      <c r="B16" s="68"/>
    </row>
    <row r="17" spans="1:5" ht="41.5" customHeight="1" x14ac:dyDescent="0.35">
      <c r="A17" s="68" t="e">
        <f>Working!#REF!</f>
        <v>#REF!</v>
      </c>
      <c r="B17" s="68"/>
      <c r="C17" s="11"/>
      <c r="D17" s="11"/>
      <c r="E17" s="3"/>
    </row>
    <row r="18" spans="1:5" ht="14.5" x14ac:dyDescent="0.35">
      <c r="A18" s="69" t="str">
        <f>'Format - Resident investors'!A19</f>
        <v>Re: Notice of 15th Drawdown for XYZ FUND ('the Fund')</v>
      </c>
      <c r="B18" s="69">
        <f>'Format - 3rd close NR inves'!B18</f>
        <v>0</v>
      </c>
      <c r="C18" s="69">
        <f>'Format - 3rd close NR inves'!C18</f>
        <v>0</v>
      </c>
      <c r="D18" s="69">
        <f>'Format - 3rd close NR inves'!D18</f>
        <v>0</v>
      </c>
      <c r="E18" s="69">
        <f>'Format - 3rd close NR inves'!E18</f>
        <v>0</v>
      </c>
    </row>
    <row r="19" spans="1:5" x14ac:dyDescent="0.35">
      <c r="A19" s="11"/>
      <c r="B19" s="11"/>
      <c r="C19" s="11"/>
      <c r="D19" s="11"/>
      <c r="E19" s="11"/>
    </row>
    <row r="20" spans="1:5" x14ac:dyDescent="0.35">
      <c r="A20" s="1" t="s">
        <v>75</v>
      </c>
    </row>
    <row r="22" spans="1:5" ht="14.5" x14ac:dyDescent="0.35">
      <c r="A22" s="70" t="s">
        <v>127</v>
      </c>
      <c r="B22" s="70"/>
      <c r="C22" s="70"/>
      <c r="D22" s="70"/>
      <c r="E22" s="70"/>
    </row>
    <row r="23" spans="1:5" ht="39" customHeight="1" x14ac:dyDescent="0.35">
      <c r="A23" s="70"/>
      <c r="B23" s="70"/>
      <c r="C23" s="70"/>
      <c r="D23" s="70"/>
      <c r="E23" s="70"/>
    </row>
    <row r="24" spans="1:5" x14ac:dyDescent="0.35">
      <c r="A24" s="70" t="s">
        <v>7</v>
      </c>
      <c r="B24" s="70"/>
      <c r="C24" s="70"/>
      <c r="D24" s="70"/>
      <c r="E24" s="70"/>
    </row>
    <row r="26" spans="1:5" ht="62" x14ac:dyDescent="0.35">
      <c r="A26" s="12" t="s">
        <v>148</v>
      </c>
      <c r="B26" s="12" t="s">
        <v>8</v>
      </c>
      <c r="C26" s="17" t="str">
        <f>'Format - Resident investors'!C27</f>
        <v>Capital contribution pursuant to the 15th Drawdown 
(INR)</v>
      </c>
      <c r="D26" s="17" t="str">
        <f>'Format - Resident investors'!D27</f>
        <v>Capital contribution (after adjustment, if any) pursuant to the 15th Drawdown 
(INR)</v>
      </c>
      <c r="E26" s="17" t="s">
        <v>123</v>
      </c>
    </row>
    <row r="27" spans="1:5" x14ac:dyDescent="0.35">
      <c r="A27" s="56" t="e">
        <f>Working!#REF!</f>
        <v>#REF!</v>
      </c>
      <c r="B27" s="56" t="e">
        <f>Working!#REF!</f>
        <v>#REF!</v>
      </c>
      <c r="C27" s="56" t="e">
        <f>Working!#REF!</f>
        <v>#REF!</v>
      </c>
      <c r="D27" s="56" t="e">
        <f>Working!#REF!</f>
        <v>#REF!</v>
      </c>
      <c r="E27" s="57" t="e">
        <f>Working!#REF!</f>
        <v>#REF!</v>
      </c>
    </row>
    <row r="28" spans="1:5" x14ac:dyDescent="0.35">
      <c r="A28" s="11"/>
      <c r="B28" s="11"/>
      <c r="C28" s="11"/>
      <c r="D28" s="11"/>
      <c r="E28" s="11"/>
    </row>
    <row r="29" spans="1:5" ht="48.5" customHeight="1" x14ac:dyDescent="0.35">
      <c r="A29" s="71" t="str">
        <f>'Format - Resident investors'!A30</f>
        <v>The capital contribution for the current Drawdown will be applied towards portfolio investment in ABC Private Limited, Management Fees for the period 1st July 2026 to 30th September 2026 and Fund expenses.</v>
      </c>
      <c r="B29" s="71">
        <f>'Format - 3rd close NR inves'!B29</f>
        <v>0</v>
      </c>
      <c r="C29" s="71">
        <f>'Format - 3rd close NR inves'!C29</f>
        <v>0</v>
      </c>
      <c r="D29" s="71">
        <f>'Format - 3rd close NR inves'!D29</f>
        <v>0</v>
      </c>
      <c r="E29" s="71">
        <f>'Format - 3rd close NR inves'!E29</f>
        <v>0</v>
      </c>
    </row>
    <row r="30" spans="1:5" ht="14.5" customHeight="1" x14ac:dyDescent="0.35">
      <c r="A30" s="72" t="str">
        <f>'Format - Resident investors'!A31</f>
        <v>The payment towards capital contribution for the 15th drawdown is to be made in the bank account of XYZ FUND within 15 Business Days from the date of issue of this Drawdown Notice i.e. on or before 30 June 2026</v>
      </c>
      <c r="B30" s="72">
        <f>'Format - 3rd close NR inves'!B30</f>
        <v>0</v>
      </c>
      <c r="C30" s="72">
        <f>'Format - 3rd close NR inves'!C30</f>
        <v>0</v>
      </c>
      <c r="D30" s="72">
        <f>'Format - 3rd close NR inves'!D30</f>
        <v>0</v>
      </c>
      <c r="E30" s="72">
        <f>'Format - 3rd close NR inves'!E30</f>
        <v>0</v>
      </c>
    </row>
    <row r="31" spans="1:5" ht="21" customHeight="1" x14ac:dyDescent="0.35">
      <c r="A31" s="72">
        <f>'Format - Resident investors'!A32</f>
        <v>0</v>
      </c>
      <c r="B31" s="72">
        <f>'Format - 3rd close NR inves'!B31</f>
        <v>0</v>
      </c>
      <c r="C31" s="72">
        <f>'Format - 3rd close NR inves'!C31</f>
        <v>0</v>
      </c>
      <c r="D31" s="72">
        <f>'Format - 3rd close NR inves'!D31</f>
        <v>0</v>
      </c>
      <c r="E31" s="72">
        <f>'Format - 3rd close NR inves'!E31</f>
        <v>0</v>
      </c>
    </row>
    <row r="32" spans="1:5" x14ac:dyDescent="0.35">
      <c r="A32" s="55"/>
      <c r="B32" s="55"/>
      <c r="C32" s="55"/>
      <c r="D32" s="55"/>
      <c r="E32" s="55"/>
    </row>
    <row r="33" spans="1:5" x14ac:dyDescent="0.35">
      <c r="A33" s="65" t="s">
        <v>88</v>
      </c>
      <c r="B33" s="65"/>
      <c r="C33" s="65"/>
      <c r="D33" s="65"/>
      <c r="E33" s="65"/>
    </row>
    <row r="35" spans="1:5" ht="31" x14ac:dyDescent="0.35">
      <c r="A35" s="4" t="s">
        <v>84</v>
      </c>
      <c r="B35" s="59" t="e">
        <f>D27</f>
        <v>#REF!</v>
      </c>
      <c r="C35" s="6"/>
      <c r="D35" s="6"/>
      <c r="E35" s="6"/>
    </row>
    <row r="36" spans="1:5" x14ac:dyDescent="0.35">
      <c r="A36" s="4" t="s">
        <v>9</v>
      </c>
      <c r="B36" s="7" t="s">
        <v>149</v>
      </c>
      <c r="C36" s="8"/>
      <c r="D36" s="8"/>
      <c r="E36" s="8"/>
    </row>
    <row r="37" spans="1:5" x14ac:dyDescent="0.35">
      <c r="A37" s="4" t="s">
        <v>73</v>
      </c>
      <c r="B37" s="7"/>
      <c r="C37" s="8"/>
      <c r="D37" s="8"/>
      <c r="E37" s="8"/>
    </row>
    <row r="38" spans="1:5" x14ac:dyDescent="0.35">
      <c r="A38" s="4" t="s">
        <v>25</v>
      </c>
      <c r="B38" s="7"/>
      <c r="C38" s="8"/>
      <c r="D38" s="8"/>
      <c r="E38" s="8"/>
    </row>
    <row r="39" spans="1:5" x14ac:dyDescent="0.35">
      <c r="A39" s="4" t="s">
        <v>11</v>
      </c>
      <c r="B39" s="7"/>
      <c r="C39" s="8"/>
      <c r="D39" s="8"/>
      <c r="E39" s="8"/>
    </row>
    <row r="40" spans="1:5" x14ac:dyDescent="0.35">
      <c r="A40" s="4" t="s">
        <v>10</v>
      </c>
      <c r="B40" s="7"/>
      <c r="C40" s="8"/>
      <c r="D40" s="8"/>
      <c r="E40" s="8"/>
    </row>
    <row r="41" spans="1:5" x14ac:dyDescent="0.35">
      <c r="A41" s="4" t="s">
        <v>82</v>
      </c>
      <c r="B41" s="7"/>
      <c r="C41" s="8"/>
      <c r="D41" s="8"/>
      <c r="E41" s="8"/>
    </row>
    <row r="42" spans="1:5" x14ac:dyDescent="0.35">
      <c r="B42" s="8"/>
      <c r="C42" s="8"/>
      <c r="D42" s="8"/>
      <c r="E42" s="8"/>
    </row>
    <row r="43" spans="1:5" ht="14.5" x14ac:dyDescent="0.35">
      <c r="A43" s="70" t="s">
        <v>85</v>
      </c>
      <c r="B43" s="70"/>
      <c r="C43" s="70"/>
      <c r="D43" s="70"/>
      <c r="E43" s="70"/>
    </row>
    <row r="44" spans="1:5" ht="22.5" customHeight="1" x14ac:dyDescent="0.35">
      <c r="A44" s="70"/>
      <c r="B44" s="70"/>
      <c r="C44" s="70"/>
      <c r="D44" s="70"/>
      <c r="E44" s="70"/>
    </row>
    <row r="45" spans="1:5" x14ac:dyDescent="0.35">
      <c r="A45" s="9"/>
      <c r="B45" s="9"/>
      <c r="C45" s="9"/>
      <c r="D45" s="9"/>
      <c r="E45" s="9"/>
    </row>
    <row r="46" spans="1:5" x14ac:dyDescent="0.35">
      <c r="A46" s="9"/>
      <c r="B46" s="9"/>
      <c r="C46" s="9"/>
      <c r="D46" s="9"/>
      <c r="E46" s="9"/>
    </row>
    <row r="47" spans="1:5" ht="15.5" customHeight="1" x14ac:dyDescent="0.35">
      <c r="A47" s="9"/>
      <c r="B47" s="73" t="str">
        <f>B3</f>
        <v>CLIENT NAME AND ADDRESS</v>
      </c>
      <c r="C47" s="74"/>
      <c r="D47" s="74"/>
      <c r="E47" s="9"/>
    </row>
    <row r="48" spans="1:5" x14ac:dyDescent="0.35">
      <c r="A48" s="9"/>
      <c r="B48" s="74"/>
      <c r="C48" s="74"/>
      <c r="D48" s="74"/>
      <c r="E48" s="9"/>
    </row>
    <row r="49" spans="1:5" x14ac:dyDescent="0.35">
      <c r="A49" s="9"/>
      <c r="B49" s="74"/>
      <c r="C49" s="74"/>
      <c r="D49" s="74"/>
      <c r="E49" s="9"/>
    </row>
    <row r="50" spans="1:5" x14ac:dyDescent="0.35">
      <c r="A50" s="9"/>
      <c r="B50" s="9"/>
      <c r="C50" s="9"/>
      <c r="D50" s="9"/>
      <c r="E50" s="9"/>
    </row>
    <row r="51" spans="1:5" x14ac:dyDescent="0.35">
      <c r="A51" s="9"/>
      <c r="B51" s="9"/>
      <c r="C51" s="9"/>
      <c r="D51" s="9"/>
      <c r="E51" s="9"/>
    </row>
    <row r="52" spans="1:5" x14ac:dyDescent="0.35">
      <c r="A52" s="60"/>
      <c r="B52" s="9"/>
      <c r="C52" s="9"/>
      <c r="D52" s="9"/>
      <c r="E52" s="9"/>
    </row>
    <row r="53" spans="1:5" x14ac:dyDescent="0.35">
      <c r="A53" s="68" t="s">
        <v>164</v>
      </c>
      <c r="B53" s="68"/>
      <c r="C53" s="68"/>
      <c r="D53" s="68"/>
      <c r="E53" s="68"/>
    </row>
    <row r="54" spans="1:5" x14ac:dyDescent="0.35">
      <c r="A54" s="76" t="s">
        <v>76</v>
      </c>
      <c r="B54" s="76"/>
      <c r="C54" s="60"/>
      <c r="D54" s="60"/>
      <c r="E54" s="60"/>
    </row>
    <row r="55" spans="1:5" x14ac:dyDescent="0.35">
      <c r="A55" s="18" t="s">
        <v>77</v>
      </c>
      <c r="B55" s="9"/>
      <c r="C55" s="9"/>
      <c r="D55" s="9"/>
      <c r="E55" s="9"/>
    </row>
    <row r="56" spans="1:5" x14ac:dyDescent="0.35">
      <c r="A56" s="18" t="s">
        <v>78</v>
      </c>
      <c r="B56" s="9"/>
      <c r="C56" s="9"/>
      <c r="D56" s="9"/>
      <c r="E56" s="9"/>
    </row>
    <row r="57" spans="1:5" x14ac:dyDescent="0.35">
      <c r="A57" s="18" t="s">
        <v>79</v>
      </c>
      <c r="B57" s="9"/>
      <c r="C57" s="9"/>
      <c r="D57" s="9"/>
      <c r="E57" s="9"/>
    </row>
    <row r="58" spans="1:5" x14ac:dyDescent="0.35">
      <c r="A58" s="9"/>
      <c r="B58" s="9"/>
      <c r="C58" s="9"/>
      <c r="D58" s="9"/>
      <c r="E58" s="9"/>
    </row>
    <row r="59" spans="1:5" x14ac:dyDescent="0.35">
      <c r="A59" s="20" t="s">
        <v>80</v>
      </c>
      <c r="B59" s="16"/>
      <c r="C59" s="16"/>
      <c r="D59" s="16"/>
      <c r="E59" s="16"/>
    </row>
    <row r="60" spans="1:5" x14ac:dyDescent="0.35">
      <c r="A60" s="16"/>
      <c r="B60" s="16"/>
      <c r="C60" s="16"/>
      <c r="D60" s="16"/>
      <c r="E60" s="16"/>
    </row>
    <row r="61" spans="1:5" x14ac:dyDescent="0.35">
      <c r="A61" s="1" t="s">
        <v>72</v>
      </c>
      <c r="C61" s="9"/>
      <c r="D61" s="9"/>
      <c r="E61" s="9"/>
    </row>
    <row r="62" spans="1:5" ht="38.5" customHeight="1" x14ac:dyDescent="0.35">
      <c r="A62" s="75" t="str">
        <f>'Format - 3rd close NR inves'!A69</f>
        <v>For ___________________LLP
(On behalf of  XYZ FUND)</v>
      </c>
      <c r="B62" s="75"/>
    </row>
    <row r="63" spans="1:5" x14ac:dyDescent="0.35">
      <c r="C63" s="9"/>
      <c r="D63" s="9"/>
      <c r="E63" s="9"/>
    </row>
    <row r="65" spans="1:5" x14ac:dyDescent="0.35">
      <c r="A65" s="65" t="str">
        <f>'Format - 3rd close NR inves'!A72</f>
        <v>Sd/-
Designated Partner</v>
      </c>
      <c r="B65" s="65"/>
      <c r="C65" s="9"/>
      <c r="D65" s="9"/>
      <c r="E65" s="9"/>
    </row>
    <row r="66" spans="1:5" ht="36.65" customHeight="1" x14ac:dyDescent="0.35">
      <c r="A66" s="65"/>
      <c r="B66" s="65"/>
      <c r="C66" s="9"/>
      <c r="D66" s="9"/>
      <c r="E66" s="9"/>
    </row>
  </sheetData>
  <mergeCells count="19">
    <mergeCell ref="B3:D6"/>
    <mergeCell ref="B7:D7"/>
    <mergeCell ref="A30:E31"/>
    <mergeCell ref="A9:E9"/>
    <mergeCell ref="A10:E10"/>
    <mergeCell ref="A11:E11"/>
    <mergeCell ref="A16:B16"/>
    <mergeCell ref="A17:B17"/>
    <mergeCell ref="A18:E18"/>
    <mergeCell ref="A22:E23"/>
    <mergeCell ref="A24:E24"/>
    <mergeCell ref="A29:E29"/>
    <mergeCell ref="A65:B66"/>
    <mergeCell ref="A33:E33"/>
    <mergeCell ref="A43:E44"/>
    <mergeCell ref="B47:D49"/>
    <mergeCell ref="A53:E53"/>
    <mergeCell ref="A54:B54"/>
    <mergeCell ref="A62:B62"/>
  </mergeCells>
  <printOptions horizontalCentered="1"/>
  <pageMargins left="0.19685039370078741" right="0.19685039370078741" top="0" bottom="0" header="0" footer="0"/>
  <pageSetup scale="78" orientation="portrait" r:id="rId1"/>
  <rowBreaks count="1" manualBreakCount="1">
    <brk id="4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BD2A4-DE54-4392-BA27-99EAFA9C1598}">
  <dimension ref="A2:E66"/>
  <sheetViews>
    <sheetView view="pageBreakPreview" zoomScale="90" zoomScaleNormal="100" zoomScaleSheetLayoutView="90" workbookViewId="0"/>
  </sheetViews>
  <sheetFormatPr defaultRowHeight="15.5" x14ac:dyDescent="0.35"/>
  <cols>
    <col min="1" max="1" width="26.453125" style="1" customWidth="1"/>
    <col min="2" max="3" width="24.453125" style="1" customWidth="1"/>
    <col min="4" max="4" width="28.81640625" style="1" customWidth="1"/>
    <col min="5" max="5" width="24.453125" style="1" customWidth="1"/>
  </cols>
  <sheetData>
    <row r="2" spans="1:5" x14ac:dyDescent="0.35">
      <c r="A2" s="16"/>
      <c r="B2" s="19"/>
      <c r="C2" s="16"/>
      <c r="D2" s="16"/>
      <c r="E2" s="16"/>
    </row>
    <row r="3" spans="1:5" ht="15.5" customHeight="1" x14ac:dyDescent="0.35">
      <c r="A3" s="16"/>
      <c r="B3" s="73" t="str">
        <f>'Format - 3rd close R invest'!B3</f>
        <v>CLIENT NAME AND ADDRESS</v>
      </c>
      <c r="C3" s="74"/>
      <c r="D3" s="74"/>
      <c r="E3" s="16"/>
    </row>
    <row r="4" spans="1:5" x14ac:dyDescent="0.35">
      <c r="A4" s="16"/>
      <c r="B4" s="74"/>
      <c r="C4" s="74"/>
      <c r="D4" s="74"/>
      <c r="E4" s="16"/>
    </row>
    <row r="5" spans="1:5" x14ac:dyDescent="0.35">
      <c r="A5" s="16"/>
      <c r="B5" s="74"/>
      <c r="C5" s="74"/>
      <c r="D5" s="74"/>
      <c r="E5" s="16"/>
    </row>
    <row r="6" spans="1:5" x14ac:dyDescent="0.35">
      <c r="A6" s="16"/>
      <c r="B6" s="74"/>
      <c r="C6" s="74"/>
      <c r="D6" s="74"/>
      <c r="E6" s="16"/>
    </row>
    <row r="7" spans="1:5" ht="28" x14ac:dyDescent="0.35">
      <c r="B7" s="73"/>
      <c r="C7" s="74"/>
      <c r="D7" s="74"/>
    </row>
    <row r="8" spans="1:5" x14ac:dyDescent="0.35">
      <c r="B8" s="16"/>
      <c r="C8" s="16"/>
      <c r="D8" s="16"/>
    </row>
    <row r="9" spans="1:5" ht="15" x14ac:dyDescent="0.35">
      <c r="A9" s="66" t="s">
        <v>5</v>
      </c>
      <c r="B9" s="66"/>
      <c r="C9" s="66"/>
      <c r="D9" s="66"/>
      <c r="E9" s="66"/>
    </row>
    <row r="10" spans="1:5" x14ac:dyDescent="0.35">
      <c r="A10" s="67" t="e">
        <f>CONCATENATE("Class: ",Working!#REF!)</f>
        <v>#REF!</v>
      </c>
      <c r="B10" s="67"/>
      <c r="C10" s="67"/>
      <c r="D10" s="67"/>
      <c r="E10" s="67"/>
    </row>
    <row r="11" spans="1:5" x14ac:dyDescent="0.35">
      <c r="A11" s="67" t="e">
        <f>CONCATENATE("Folio No.: ",Working!#REF!)</f>
        <v>#REF!</v>
      </c>
      <c r="B11" s="67"/>
      <c r="C11" s="67"/>
      <c r="D11" s="67"/>
      <c r="E11" s="67"/>
    </row>
    <row r="13" spans="1:5" x14ac:dyDescent="0.35">
      <c r="A13" s="55" t="str">
        <f>'Format - 3rd close NR inves'!A13</f>
        <v>Date: 11 June 2026</v>
      </c>
    </row>
    <row r="15" spans="1:5" x14ac:dyDescent="0.35">
      <c r="A15" s="1" t="s">
        <v>6</v>
      </c>
    </row>
    <row r="16" spans="1:5" x14ac:dyDescent="0.35">
      <c r="A16" s="68" t="e">
        <f>Working!#REF!</f>
        <v>#REF!</v>
      </c>
      <c r="B16" s="68"/>
    </row>
    <row r="17" spans="1:5" ht="47.5" customHeight="1" x14ac:dyDescent="0.35">
      <c r="A17" s="68" t="e">
        <f>Working!#REF!</f>
        <v>#REF!</v>
      </c>
      <c r="B17" s="68"/>
      <c r="C17" s="11"/>
      <c r="D17" s="11"/>
      <c r="E17" s="3"/>
    </row>
    <row r="18" spans="1:5" ht="14.5" x14ac:dyDescent="0.35">
      <c r="A18" s="69" t="str">
        <f>'Format - Resident investors'!A19</f>
        <v>Re: Notice of 15th Drawdown for XYZ FUND ('the Fund')</v>
      </c>
      <c r="B18" s="69">
        <f>'Format - 3rd close NR inves'!B18</f>
        <v>0</v>
      </c>
      <c r="C18" s="69">
        <f>'Format - 3rd close NR inves'!C18</f>
        <v>0</v>
      </c>
      <c r="D18" s="69">
        <f>'Format - 3rd close NR inves'!D18</f>
        <v>0</v>
      </c>
      <c r="E18" s="69">
        <f>'Format - 3rd close NR inves'!E18</f>
        <v>0</v>
      </c>
    </row>
    <row r="19" spans="1:5" x14ac:dyDescent="0.35">
      <c r="A19" s="11"/>
      <c r="B19" s="11"/>
      <c r="C19" s="11"/>
      <c r="D19" s="11"/>
      <c r="E19" s="11"/>
    </row>
    <row r="20" spans="1:5" x14ac:dyDescent="0.35">
      <c r="A20" s="1" t="s">
        <v>75</v>
      </c>
    </row>
    <row r="22" spans="1:5" ht="14.5" x14ac:dyDescent="0.35">
      <c r="A22" s="70" t="s">
        <v>128</v>
      </c>
      <c r="B22" s="70"/>
      <c r="C22" s="70"/>
      <c r="D22" s="70"/>
      <c r="E22" s="70"/>
    </row>
    <row r="23" spans="1:5" ht="39" customHeight="1" x14ac:dyDescent="0.35">
      <c r="A23" s="70"/>
      <c r="B23" s="70"/>
      <c r="C23" s="70"/>
      <c r="D23" s="70"/>
      <c r="E23" s="70"/>
    </row>
    <row r="24" spans="1:5" x14ac:dyDescent="0.35">
      <c r="A24" s="70" t="s">
        <v>7</v>
      </c>
      <c r="B24" s="70"/>
      <c r="C24" s="70"/>
      <c r="D24" s="70"/>
      <c r="E24" s="70"/>
    </row>
    <row r="26" spans="1:5" ht="62" x14ac:dyDescent="0.35">
      <c r="A26" s="12" t="s">
        <v>148</v>
      </c>
      <c r="B26" s="12" t="s">
        <v>8</v>
      </c>
      <c r="C26" s="17" t="str">
        <f>'Format - Resident investors'!C27</f>
        <v>Capital contribution pursuant to the 15th Drawdown 
(INR)</v>
      </c>
      <c r="D26" s="17" t="str">
        <f>'Format - Resident investors'!D27</f>
        <v>Capital contribution (after adjustment, if any) pursuant to the 15th Drawdown 
(INR)</v>
      </c>
      <c r="E26" s="17" t="s">
        <v>123</v>
      </c>
    </row>
    <row r="27" spans="1:5" x14ac:dyDescent="0.35">
      <c r="A27" s="56" t="e">
        <f>Working!#REF!</f>
        <v>#REF!</v>
      </c>
      <c r="B27" s="56" t="e">
        <f>Working!#REF!</f>
        <v>#REF!</v>
      </c>
      <c r="C27" s="56" t="e">
        <f>Working!#REF!</f>
        <v>#REF!</v>
      </c>
      <c r="D27" s="56" t="e">
        <f>Working!#REF!</f>
        <v>#REF!</v>
      </c>
      <c r="E27" s="57" t="e">
        <f>Working!#REF!</f>
        <v>#REF!</v>
      </c>
    </row>
    <row r="28" spans="1:5" x14ac:dyDescent="0.35">
      <c r="A28" s="11"/>
      <c r="B28" s="11"/>
      <c r="C28" s="11"/>
      <c r="D28" s="11"/>
      <c r="E28" s="11"/>
    </row>
    <row r="29" spans="1:5" ht="37" customHeight="1" x14ac:dyDescent="0.35">
      <c r="A29" s="71" t="s">
        <v>165</v>
      </c>
      <c r="B29" s="71">
        <f>'Format - 3rd close NR inves'!B29</f>
        <v>0</v>
      </c>
      <c r="C29" s="71">
        <f>'Format - 3rd close NR inves'!C29</f>
        <v>0</v>
      </c>
      <c r="D29" s="71">
        <f>'Format - 3rd close NR inves'!D29</f>
        <v>0</v>
      </c>
      <c r="E29" s="71">
        <f>'Format - 3rd close NR inves'!E29</f>
        <v>0</v>
      </c>
    </row>
    <row r="30" spans="1:5" ht="14.5" customHeight="1" x14ac:dyDescent="0.35">
      <c r="A30" s="72" t="str">
        <f>'Format - Resident investors'!A31</f>
        <v>The payment towards capital contribution for the 15th drawdown is to be made in the bank account of XYZ FUND within 15 Business Days from the date of issue of this Drawdown Notice i.e. on or before 30 June 2026</v>
      </c>
      <c r="B30" s="72">
        <f>'Format - 3rd close NR inves'!B30</f>
        <v>0</v>
      </c>
      <c r="C30" s="72">
        <f>'Format - 3rd close NR inves'!C30</f>
        <v>0</v>
      </c>
      <c r="D30" s="72">
        <f>'Format - 3rd close NR inves'!D30</f>
        <v>0</v>
      </c>
      <c r="E30" s="72">
        <f>'Format - 3rd close NR inves'!E30</f>
        <v>0</v>
      </c>
    </row>
    <row r="31" spans="1:5" ht="21" customHeight="1" x14ac:dyDescent="0.35">
      <c r="A31" s="72">
        <f>'Format - Resident investors'!A32</f>
        <v>0</v>
      </c>
      <c r="B31" s="72">
        <f>'Format - 3rd close NR inves'!B31</f>
        <v>0</v>
      </c>
      <c r="C31" s="72">
        <f>'Format - 3rd close NR inves'!C31</f>
        <v>0</v>
      </c>
      <c r="D31" s="72">
        <f>'Format - 3rd close NR inves'!D31</f>
        <v>0</v>
      </c>
      <c r="E31" s="72">
        <f>'Format - 3rd close NR inves'!E31</f>
        <v>0</v>
      </c>
    </row>
    <row r="32" spans="1:5" x14ac:dyDescent="0.35">
      <c r="A32" s="11"/>
      <c r="B32" s="11"/>
      <c r="C32" s="11"/>
      <c r="D32" s="11"/>
      <c r="E32" s="11"/>
    </row>
    <row r="33" spans="1:5" x14ac:dyDescent="0.35">
      <c r="A33" s="65" t="s">
        <v>88</v>
      </c>
      <c r="B33" s="65"/>
      <c r="C33" s="65"/>
      <c r="D33" s="65"/>
      <c r="E33" s="65"/>
    </row>
    <row r="35" spans="1:5" ht="31" x14ac:dyDescent="0.35">
      <c r="A35" s="4" t="s">
        <v>84</v>
      </c>
      <c r="B35" s="59" t="e">
        <f>D27</f>
        <v>#REF!</v>
      </c>
      <c r="C35" s="6"/>
      <c r="D35" s="6"/>
      <c r="E35" s="6"/>
    </row>
    <row r="36" spans="1:5" x14ac:dyDescent="0.35">
      <c r="A36" s="4" t="s">
        <v>9</v>
      </c>
      <c r="B36" s="7" t="s">
        <v>149</v>
      </c>
      <c r="C36" s="8"/>
      <c r="D36" s="8"/>
      <c r="E36" s="8"/>
    </row>
    <row r="37" spans="1:5" x14ac:dyDescent="0.35">
      <c r="A37" s="4" t="s">
        <v>73</v>
      </c>
      <c r="B37" s="7"/>
      <c r="C37" s="8"/>
      <c r="D37" s="8"/>
      <c r="E37" s="8"/>
    </row>
    <row r="38" spans="1:5" x14ac:dyDescent="0.35">
      <c r="A38" s="4" t="s">
        <v>25</v>
      </c>
      <c r="B38" s="7"/>
      <c r="C38" s="8"/>
      <c r="D38" s="8"/>
      <c r="E38" s="8"/>
    </row>
    <row r="39" spans="1:5" x14ac:dyDescent="0.35">
      <c r="A39" s="4" t="s">
        <v>11</v>
      </c>
      <c r="B39" s="7"/>
      <c r="C39" s="8"/>
      <c r="D39" s="8"/>
      <c r="E39" s="8"/>
    </row>
    <row r="40" spans="1:5" x14ac:dyDescent="0.35">
      <c r="A40" s="4" t="s">
        <v>10</v>
      </c>
      <c r="B40" s="7"/>
      <c r="C40" s="8"/>
      <c r="D40" s="8"/>
      <c r="E40" s="8"/>
    </row>
    <row r="41" spans="1:5" x14ac:dyDescent="0.35">
      <c r="A41" s="4" t="s">
        <v>82</v>
      </c>
      <c r="B41" s="7"/>
      <c r="C41" s="8"/>
      <c r="D41" s="8"/>
      <c r="E41" s="8"/>
    </row>
    <row r="42" spans="1:5" x14ac:dyDescent="0.35">
      <c r="B42" s="8"/>
      <c r="C42" s="8"/>
      <c r="D42" s="8"/>
      <c r="E42" s="8"/>
    </row>
    <row r="43" spans="1:5" ht="14.5" x14ac:dyDescent="0.35">
      <c r="A43" s="70" t="s">
        <v>85</v>
      </c>
      <c r="B43" s="70"/>
      <c r="C43" s="70"/>
      <c r="D43" s="70"/>
      <c r="E43" s="70"/>
    </row>
    <row r="44" spans="1:5" ht="24.65" customHeight="1" x14ac:dyDescent="0.35">
      <c r="A44" s="70"/>
      <c r="B44" s="70"/>
      <c r="C44" s="70"/>
      <c r="D44" s="70"/>
      <c r="E44" s="70"/>
    </row>
    <row r="45" spans="1:5" x14ac:dyDescent="0.35">
      <c r="A45" s="9"/>
      <c r="B45" s="9"/>
      <c r="C45" s="9"/>
      <c r="D45" s="9"/>
      <c r="E45" s="9"/>
    </row>
    <row r="46" spans="1:5" x14ac:dyDescent="0.35">
      <c r="A46" s="9"/>
      <c r="B46" s="9"/>
      <c r="C46" s="9"/>
      <c r="D46" s="9"/>
      <c r="E46" s="9"/>
    </row>
    <row r="47" spans="1:5" ht="15.5" customHeight="1" x14ac:dyDescent="0.35">
      <c r="A47" s="9"/>
      <c r="B47" s="73" t="str">
        <f>B3</f>
        <v>CLIENT NAME AND ADDRESS</v>
      </c>
      <c r="C47" s="74"/>
      <c r="D47" s="74"/>
      <c r="E47" s="9"/>
    </row>
    <row r="48" spans="1:5" x14ac:dyDescent="0.35">
      <c r="A48" s="9"/>
      <c r="B48" s="74"/>
      <c r="C48" s="74"/>
      <c r="D48" s="74"/>
      <c r="E48" s="9"/>
    </row>
    <row r="49" spans="1:5" x14ac:dyDescent="0.35">
      <c r="A49" s="9"/>
      <c r="B49" s="74"/>
      <c r="C49" s="74"/>
      <c r="D49" s="74"/>
      <c r="E49" s="9"/>
    </row>
    <row r="50" spans="1:5" x14ac:dyDescent="0.35">
      <c r="A50" s="9"/>
      <c r="B50" s="9"/>
      <c r="C50" s="9"/>
      <c r="D50" s="9"/>
      <c r="E50" s="9"/>
    </row>
    <row r="51" spans="1:5" x14ac:dyDescent="0.35">
      <c r="A51" s="9"/>
      <c r="B51" s="9"/>
      <c r="C51" s="9"/>
      <c r="D51" s="9"/>
      <c r="E51" s="9"/>
    </row>
    <row r="52" spans="1:5" x14ac:dyDescent="0.35">
      <c r="A52" s="60"/>
      <c r="B52" s="9"/>
      <c r="C52" s="9"/>
      <c r="D52" s="9"/>
      <c r="E52" s="9"/>
    </row>
    <row r="53" spans="1:5" x14ac:dyDescent="0.35">
      <c r="A53" s="68" t="s">
        <v>164</v>
      </c>
      <c r="B53" s="68"/>
      <c r="C53" s="68"/>
      <c r="D53" s="68"/>
      <c r="E53" s="68"/>
    </row>
    <row r="54" spans="1:5" x14ac:dyDescent="0.35">
      <c r="A54" s="76" t="s">
        <v>76</v>
      </c>
      <c r="B54" s="76"/>
      <c r="C54" s="60"/>
      <c r="D54" s="60"/>
      <c r="E54" s="60"/>
    </row>
    <row r="55" spans="1:5" x14ac:dyDescent="0.35">
      <c r="A55" s="18" t="s">
        <v>77</v>
      </c>
      <c r="B55" s="9"/>
      <c r="C55" s="9"/>
      <c r="D55" s="9"/>
      <c r="E55" s="9"/>
    </row>
    <row r="56" spans="1:5" x14ac:dyDescent="0.35">
      <c r="A56" s="18" t="s">
        <v>78</v>
      </c>
      <c r="B56" s="9"/>
      <c r="C56" s="9"/>
      <c r="D56" s="9"/>
      <c r="E56" s="9"/>
    </row>
    <row r="57" spans="1:5" x14ac:dyDescent="0.35">
      <c r="A57" s="18" t="s">
        <v>79</v>
      </c>
      <c r="B57" s="9"/>
      <c r="C57" s="9"/>
      <c r="D57" s="9"/>
      <c r="E57" s="9"/>
    </row>
    <row r="58" spans="1:5" x14ac:dyDescent="0.35">
      <c r="A58" s="9"/>
      <c r="B58" s="9"/>
      <c r="C58" s="9"/>
      <c r="D58" s="9"/>
      <c r="E58" s="9"/>
    </row>
    <row r="59" spans="1:5" x14ac:dyDescent="0.35">
      <c r="A59" s="20" t="s">
        <v>80</v>
      </c>
      <c r="B59" s="16"/>
      <c r="C59" s="16"/>
      <c r="D59" s="16"/>
      <c r="E59" s="16"/>
    </row>
    <row r="60" spans="1:5" x14ac:dyDescent="0.35">
      <c r="A60" s="3"/>
      <c r="B60" s="3"/>
      <c r="C60" s="3"/>
      <c r="D60" s="3"/>
      <c r="E60" s="3"/>
    </row>
    <row r="61" spans="1:5" x14ac:dyDescent="0.35">
      <c r="A61" s="1" t="s">
        <v>72</v>
      </c>
      <c r="C61" s="9"/>
      <c r="D61" s="9"/>
      <c r="E61" s="9"/>
    </row>
    <row r="62" spans="1:5" ht="31.5" customHeight="1" x14ac:dyDescent="0.35">
      <c r="A62" s="75" t="str">
        <f>'Format - 3rd close R invest'!A62</f>
        <v>For ___________________LLP
(On behalf of  XYZ FUND)</v>
      </c>
      <c r="B62" s="75"/>
    </row>
    <row r="63" spans="1:5" x14ac:dyDescent="0.35">
      <c r="C63" s="9"/>
      <c r="D63" s="9"/>
      <c r="E63" s="9"/>
    </row>
    <row r="65" spans="1:5" x14ac:dyDescent="0.35">
      <c r="A65" s="65" t="str">
        <f>'Format - 3rd close R invest'!A65</f>
        <v>Sd/-
Designated Partner</v>
      </c>
      <c r="B65" s="65"/>
      <c r="C65" s="9"/>
      <c r="D65" s="9"/>
      <c r="E65" s="9"/>
    </row>
    <row r="66" spans="1:5" ht="37" customHeight="1" x14ac:dyDescent="0.35">
      <c r="A66" s="65"/>
      <c r="B66" s="65"/>
      <c r="C66" s="9"/>
      <c r="D66" s="9"/>
      <c r="E66" s="9"/>
    </row>
  </sheetData>
  <mergeCells count="19">
    <mergeCell ref="B3:D6"/>
    <mergeCell ref="B7:D7"/>
    <mergeCell ref="A65:B66"/>
    <mergeCell ref="A18:E18"/>
    <mergeCell ref="A22:E23"/>
    <mergeCell ref="A24:E24"/>
    <mergeCell ref="A29:E29"/>
    <mergeCell ref="A30:E31"/>
    <mergeCell ref="A33:E33"/>
    <mergeCell ref="A43:E44"/>
    <mergeCell ref="B47:D49"/>
    <mergeCell ref="A53:E53"/>
    <mergeCell ref="A54:B54"/>
    <mergeCell ref="A62:B62"/>
    <mergeCell ref="A17:B17"/>
    <mergeCell ref="A9:E9"/>
    <mergeCell ref="A10:E10"/>
    <mergeCell ref="A11:E11"/>
    <mergeCell ref="A16:B16"/>
  </mergeCells>
  <printOptions horizontalCentered="1"/>
  <pageMargins left="0.19685039370078741" right="0.19685039370078741" top="0" bottom="0" header="0" footer="0"/>
  <pageSetup scale="78" orientation="portrait" r:id="rId1"/>
  <rowBreaks count="1" manualBreakCount="1">
    <brk id="45"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20603-5E70-4DBC-A7B4-1582DE01E793}">
  <sheetPr>
    <pageSetUpPr fitToPage="1"/>
  </sheetPr>
  <dimension ref="A2:F72"/>
  <sheetViews>
    <sheetView showWhiteSpace="0" view="pageBreakPreview" zoomScale="90" zoomScaleNormal="100" zoomScaleSheetLayoutView="90" zoomScalePageLayoutView="80" workbookViewId="0"/>
  </sheetViews>
  <sheetFormatPr defaultColWidth="8.81640625" defaultRowHeight="15.5" x14ac:dyDescent="0.35"/>
  <cols>
    <col min="1" max="1" width="25.453125" style="1" customWidth="1"/>
    <col min="2" max="2" width="20.54296875" style="1" customWidth="1"/>
    <col min="3" max="3" width="26.81640625" style="1" customWidth="1"/>
    <col min="4" max="4" width="27.54296875" style="1" customWidth="1"/>
    <col min="5" max="5" width="24.453125" style="1" customWidth="1"/>
    <col min="6" max="6" width="16" style="2" bestFit="1" customWidth="1"/>
    <col min="7" max="16384" width="8.81640625" style="2"/>
  </cols>
  <sheetData>
    <row r="2" spans="1:6" x14ac:dyDescent="0.35">
      <c r="A2" s="16"/>
      <c r="B2" s="19"/>
      <c r="C2" s="16"/>
      <c r="D2" s="16"/>
    </row>
    <row r="3" spans="1:6" ht="15.75" customHeight="1" x14ac:dyDescent="0.35">
      <c r="A3" s="16"/>
      <c r="B3" s="73" t="str">
        <f>'Format - Final close Employee'!B3</f>
        <v>CLIENT NAME AND ADDRESS</v>
      </c>
      <c r="C3" s="74"/>
      <c r="D3" s="74"/>
      <c r="E3" s="16"/>
    </row>
    <row r="4" spans="1:6" ht="15.75" customHeight="1" x14ac:dyDescent="0.35">
      <c r="A4" s="16"/>
      <c r="B4" s="74"/>
      <c r="C4" s="74"/>
      <c r="D4" s="74"/>
      <c r="E4" s="16"/>
      <c r="F4" s="13"/>
    </row>
    <row r="5" spans="1:6" ht="15.75" customHeight="1" x14ac:dyDescent="0.35">
      <c r="A5" s="16"/>
      <c r="B5" s="74"/>
      <c r="C5" s="74"/>
      <c r="D5" s="74"/>
      <c r="E5" s="16"/>
    </row>
    <row r="6" spans="1:6" ht="15.75" customHeight="1" x14ac:dyDescent="0.35">
      <c r="A6" s="16"/>
      <c r="B6" s="74"/>
      <c r="C6" s="74"/>
      <c r="D6" s="74"/>
      <c r="E6" s="16"/>
    </row>
    <row r="7" spans="1:6" ht="28" x14ac:dyDescent="0.35">
      <c r="B7" s="73"/>
      <c r="C7" s="74"/>
      <c r="D7" s="74"/>
    </row>
    <row r="8" spans="1:6" x14ac:dyDescent="0.35">
      <c r="B8" s="16"/>
      <c r="C8" s="16"/>
      <c r="D8" s="16"/>
    </row>
    <row r="9" spans="1:6" x14ac:dyDescent="0.35">
      <c r="A9" s="66" t="s">
        <v>5</v>
      </c>
      <c r="B9" s="66"/>
      <c r="C9" s="66"/>
      <c r="D9" s="66"/>
      <c r="E9" s="66"/>
    </row>
    <row r="10" spans="1:6" x14ac:dyDescent="0.35">
      <c r="A10" s="67" t="e">
        <f>CONCATENATE("Class: ",Working!#REF!)</f>
        <v>#REF!</v>
      </c>
      <c r="B10" s="67"/>
      <c r="C10" s="67"/>
      <c r="D10" s="67"/>
      <c r="E10" s="67"/>
    </row>
    <row r="11" spans="1:6" x14ac:dyDescent="0.35">
      <c r="A11" s="67" t="e">
        <f>CONCATENATE("Folio No.: ",Working!#REF!)</f>
        <v>#REF!</v>
      </c>
      <c r="B11" s="67"/>
      <c r="C11" s="67"/>
      <c r="D11" s="67"/>
      <c r="E11" s="67"/>
    </row>
    <row r="13" spans="1:6" x14ac:dyDescent="0.35">
      <c r="A13" s="55" t="str">
        <f>'Format - Resident investors'!A13</f>
        <v>Date: 11 June 2026</v>
      </c>
    </row>
    <row r="15" spans="1:6" x14ac:dyDescent="0.35">
      <c r="A15" s="1" t="s">
        <v>6</v>
      </c>
    </row>
    <row r="16" spans="1:6" x14ac:dyDescent="0.35">
      <c r="A16" s="68" t="e">
        <f>Working!#REF!</f>
        <v>#REF!</v>
      </c>
      <c r="B16" s="68"/>
      <c r="C16" s="81"/>
      <c r="D16" s="81"/>
      <c r="E16" s="81"/>
    </row>
    <row r="17" spans="1:6" ht="31.5" customHeight="1" x14ac:dyDescent="0.35">
      <c r="A17" s="68" t="e">
        <f>Working!#REF!</f>
        <v>#REF!</v>
      </c>
      <c r="B17" s="68"/>
      <c r="C17" s="81"/>
      <c r="D17" s="81"/>
      <c r="E17" s="81"/>
    </row>
    <row r="19" spans="1:6" x14ac:dyDescent="0.35">
      <c r="A19" s="69" t="str">
        <f>'Format - Resident investors'!A19</f>
        <v>Re: Notice of 15th Drawdown for XYZ FUND ('the Fund')</v>
      </c>
      <c r="B19" s="69"/>
      <c r="C19" s="69"/>
      <c r="D19" s="69"/>
      <c r="E19" s="69"/>
    </row>
    <row r="21" spans="1:6" x14ac:dyDescent="0.35">
      <c r="A21" s="1" t="s">
        <v>75</v>
      </c>
    </row>
    <row r="23" spans="1:6" ht="15.75" customHeight="1" x14ac:dyDescent="0.35">
      <c r="A23" s="70" t="s">
        <v>129</v>
      </c>
      <c r="B23" s="70"/>
      <c r="C23" s="70"/>
      <c r="D23" s="70"/>
      <c r="E23" s="70"/>
    </row>
    <row r="24" spans="1:6" ht="33" customHeight="1" x14ac:dyDescent="0.35">
      <c r="A24" s="70"/>
      <c r="B24" s="70"/>
      <c r="C24" s="70"/>
      <c r="D24" s="70"/>
      <c r="E24" s="70"/>
    </row>
    <row r="25" spans="1:6" x14ac:dyDescent="0.35">
      <c r="A25" s="70" t="s">
        <v>7</v>
      </c>
      <c r="B25" s="70"/>
      <c r="C25" s="70"/>
      <c r="D25" s="70"/>
      <c r="E25" s="70"/>
    </row>
    <row r="27" spans="1:6" ht="64.5" customHeight="1" x14ac:dyDescent="0.35">
      <c r="A27" s="17" t="str">
        <f>'Format - Resident investors'!A27</f>
        <v>Capital commitment to XYZ FUND
(INR)</v>
      </c>
      <c r="B27" s="17" t="str">
        <f>'Format - Resident investors'!B27</f>
        <v>Capital contributed till date 
(INR)</v>
      </c>
      <c r="C27" s="17" t="str">
        <f>'Format - Resident investors'!C27</f>
        <v>Capital contribution pursuant to the 15th Drawdown 
(INR)</v>
      </c>
      <c r="D27" s="17" t="s">
        <v>143</v>
      </c>
      <c r="E27" s="17" t="str">
        <f>'Format - Resident investors'!E27</f>
        <v>% of the Capital commitment drawn down till date</v>
      </c>
    </row>
    <row r="28" spans="1:6" x14ac:dyDescent="0.35">
      <c r="A28" s="56" t="e">
        <f>Working!#REF!</f>
        <v>#REF!</v>
      </c>
      <c r="B28" s="56" t="e">
        <f>Working!#REF!</f>
        <v>#REF!</v>
      </c>
      <c r="C28" s="56" t="e">
        <f>Working!#REF!</f>
        <v>#REF!</v>
      </c>
      <c r="D28" s="56" t="e">
        <f>Working!#REF!</f>
        <v>#REF!</v>
      </c>
      <c r="E28" s="57" t="e">
        <f>Working!#REF!</f>
        <v>#REF!</v>
      </c>
      <c r="F28" s="10"/>
    </row>
    <row r="29" spans="1:6" ht="7.5" customHeight="1" x14ac:dyDescent="0.35"/>
    <row r="30" spans="1:6" ht="49" customHeight="1" x14ac:dyDescent="0.35">
      <c r="A30" s="71" t="str">
        <f>'Format - Resident investors'!A30</f>
        <v>The capital contribution for the current Drawdown will be applied towards portfolio investment in ABC Private Limited, Management Fees for the period 1st July 2026 to 30th September 2026 and Fund expenses.</v>
      </c>
      <c r="B30" s="71"/>
      <c r="C30" s="71"/>
      <c r="D30" s="71"/>
      <c r="E30" s="71"/>
    </row>
    <row r="31" spans="1:6" ht="11" customHeight="1" x14ac:dyDescent="0.35">
      <c r="A31" s="58"/>
      <c r="B31" s="58"/>
      <c r="C31" s="58"/>
      <c r="D31" s="58"/>
      <c r="E31" s="58"/>
    </row>
    <row r="32" spans="1:6" x14ac:dyDescent="0.35">
      <c r="A32" s="72" t="str">
        <f>'Format - Resident investors'!A31</f>
        <v>The payment towards capital contribution for the 15th drawdown is to be made in the bank account of XYZ FUND within 15 Business Days from the date of issue of this Drawdown Notice i.e. on or before 30 June 2026</v>
      </c>
      <c r="B32" s="72"/>
      <c r="C32" s="72"/>
      <c r="D32" s="72"/>
      <c r="E32" s="72"/>
    </row>
    <row r="33" spans="1:5" ht="17.5" customHeight="1" x14ac:dyDescent="0.35">
      <c r="A33" s="70"/>
      <c r="B33" s="70"/>
      <c r="C33" s="70"/>
      <c r="D33" s="70"/>
      <c r="E33" s="70"/>
    </row>
    <row r="35" spans="1:5" x14ac:dyDescent="0.35">
      <c r="A35" s="65" t="s">
        <v>89</v>
      </c>
      <c r="B35" s="65"/>
      <c r="C35" s="65"/>
      <c r="D35" s="65"/>
      <c r="E35" s="65"/>
    </row>
    <row r="36" spans="1:5" ht="26.15" customHeight="1" x14ac:dyDescent="0.35"/>
    <row r="37" spans="1:5" ht="31" x14ac:dyDescent="0.35">
      <c r="A37" s="4" t="s">
        <v>84</v>
      </c>
      <c r="B37" s="59" t="e">
        <f>D28</f>
        <v>#REF!</v>
      </c>
      <c r="C37" s="6"/>
      <c r="D37" s="6"/>
      <c r="E37" s="6"/>
    </row>
    <row r="38" spans="1:5" x14ac:dyDescent="0.35">
      <c r="A38" s="4" t="s">
        <v>9</v>
      </c>
      <c r="B38" s="7" t="s">
        <v>149</v>
      </c>
      <c r="C38" s="8"/>
      <c r="D38" s="8"/>
      <c r="E38" s="8"/>
    </row>
    <row r="39" spans="1:5" x14ac:dyDescent="0.35">
      <c r="A39" s="4" t="s">
        <v>73</v>
      </c>
      <c r="B39" s="7"/>
      <c r="C39" s="8"/>
      <c r="D39" s="8"/>
      <c r="E39" s="8"/>
    </row>
    <row r="40" spans="1:5" x14ac:dyDescent="0.35">
      <c r="A40" s="4" t="s">
        <v>25</v>
      </c>
      <c r="B40" s="7"/>
      <c r="C40" s="8"/>
      <c r="D40" s="8"/>
      <c r="E40" s="8"/>
    </row>
    <row r="41" spans="1:5" x14ac:dyDescent="0.35">
      <c r="A41" s="4" t="s">
        <v>11</v>
      </c>
      <c r="B41" s="7"/>
      <c r="C41" s="8"/>
      <c r="D41" s="8"/>
      <c r="E41" s="8"/>
    </row>
    <row r="42" spans="1:5" x14ac:dyDescent="0.35">
      <c r="A42" s="4" t="s">
        <v>10</v>
      </c>
      <c r="B42" s="7"/>
      <c r="C42" s="8"/>
      <c r="D42" s="8"/>
      <c r="E42" s="8"/>
    </row>
    <row r="43" spans="1:5" x14ac:dyDescent="0.35">
      <c r="A43" s="4" t="s">
        <v>82</v>
      </c>
      <c r="B43" s="7"/>
      <c r="C43" s="8"/>
      <c r="D43" s="8"/>
      <c r="E43" s="8"/>
    </row>
    <row r="44" spans="1:5" x14ac:dyDescent="0.35">
      <c r="B44" s="8"/>
      <c r="C44" s="8"/>
      <c r="D44" s="8"/>
      <c r="E44" s="8"/>
    </row>
    <row r="45" spans="1:5" x14ac:dyDescent="0.35">
      <c r="B45" s="8"/>
      <c r="C45" s="8"/>
      <c r="D45" s="8"/>
      <c r="E45" s="8"/>
    </row>
    <row r="46" spans="1:5" x14ac:dyDescent="0.35">
      <c r="B46" s="8"/>
      <c r="C46" s="8"/>
      <c r="D46" s="8"/>
      <c r="E46" s="8"/>
    </row>
    <row r="47" spans="1:5" x14ac:dyDescent="0.35">
      <c r="B47" s="8"/>
      <c r="C47" s="8"/>
      <c r="D47" s="8"/>
      <c r="E47" s="8"/>
    </row>
    <row r="48" spans="1:5" x14ac:dyDescent="0.35">
      <c r="B48" s="8"/>
      <c r="C48" s="8"/>
      <c r="D48" s="8"/>
      <c r="E48" s="8"/>
    </row>
    <row r="49" spans="1:5" ht="15.5" customHeight="1" x14ac:dyDescent="0.35">
      <c r="B49" s="73" t="str">
        <f>B3</f>
        <v>CLIENT NAME AND ADDRESS</v>
      </c>
      <c r="C49" s="74"/>
      <c r="D49" s="74"/>
      <c r="E49" s="8"/>
    </row>
    <row r="50" spans="1:5" x14ac:dyDescent="0.35">
      <c r="B50" s="74"/>
      <c r="C50" s="74"/>
      <c r="D50" s="74"/>
      <c r="E50" s="8"/>
    </row>
    <row r="51" spans="1:5" ht="46.5" customHeight="1" x14ac:dyDescent="0.35">
      <c r="B51" s="74"/>
      <c r="C51" s="74"/>
      <c r="D51" s="74"/>
      <c r="E51" s="8"/>
    </row>
    <row r="52" spans="1:5" x14ac:dyDescent="0.35">
      <c r="B52" s="8"/>
      <c r="C52" s="8"/>
      <c r="D52" s="8"/>
      <c r="E52" s="8"/>
    </row>
    <row r="53" spans="1:5" x14ac:dyDescent="0.35">
      <c r="B53" s="8"/>
      <c r="C53" s="8"/>
      <c r="D53" s="8"/>
      <c r="E53" s="8"/>
    </row>
    <row r="54" spans="1:5" x14ac:dyDescent="0.35">
      <c r="B54" s="8"/>
      <c r="C54" s="8"/>
      <c r="D54" s="8"/>
      <c r="E54" s="8"/>
    </row>
    <row r="55" spans="1:5" x14ac:dyDescent="0.35">
      <c r="A55" s="70" t="s">
        <v>85</v>
      </c>
      <c r="B55" s="70"/>
      <c r="C55" s="70"/>
      <c r="D55" s="70"/>
      <c r="E55" s="70"/>
    </row>
    <row r="56" spans="1:5" ht="15.65" customHeight="1" x14ac:dyDescent="0.35">
      <c r="A56" s="70"/>
      <c r="B56" s="70"/>
      <c r="C56" s="70"/>
      <c r="D56" s="70"/>
      <c r="E56" s="70"/>
    </row>
    <row r="57" spans="1:5" x14ac:dyDescent="0.35">
      <c r="A57" s="9"/>
      <c r="B57" s="9"/>
      <c r="C57" s="9"/>
      <c r="D57" s="9"/>
      <c r="E57" s="9"/>
    </row>
    <row r="58" spans="1:5" x14ac:dyDescent="0.35">
      <c r="A58" s="68" t="s">
        <v>164</v>
      </c>
      <c r="B58" s="68"/>
      <c r="C58" s="68"/>
      <c r="D58" s="68"/>
      <c r="E58" s="68"/>
    </row>
    <row r="59" spans="1:5" ht="30.65" customHeight="1" x14ac:dyDescent="0.35">
      <c r="A59" s="76" t="s">
        <v>76</v>
      </c>
      <c r="B59" s="76"/>
      <c r="C59" s="9"/>
      <c r="D59" s="9"/>
      <c r="E59" s="9"/>
    </row>
    <row r="60" spans="1:5" x14ac:dyDescent="0.35">
      <c r="A60" s="18" t="s">
        <v>77</v>
      </c>
      <c r="B60" s="60"/>
      <c r="C60" s="60"/>
      <c r="D60" s="60"/>
      <c r="E60" s="60"/>
    </row>
    <row r="61" spans="1:5" x14ac:dyDescent="0.35">
      <c r="A61" s="18" t="s">
        <v>78</v>
      </c>
      <c r="B61" s="9"/>
      <c r="C61" s="9"/>
      <c r="D61" s="9"/>
      <c r="E61" s="9"/>
    </row>
    <row r="62" spans="1:5" x14ac:dyDescent="0.35">
      <c r="A62" s="18" t="s">
        <v>79</v>
      </c>
      <c r="B62" s="9"/>
      <c r="C62" s="9"/>
      <c r="D62" s="9"/>
      <c r="E62" s="9"/>
    </row>
    <row r="63" spans="1:5" x14ac:dyDescent="0.35">
      <c r="A63" s="16"/>
      <c r="B63" s="16"/>
      <c r="C63" s="16"/>
      <c r="D63" s="16"/>
      <c r="E63" s="16"/>
    </row>
    <row r="64" spans="1:5" x14ac:dyDescent="0.35">
      <c r="A64" s="20" t="s">
        <v>80</v>
      </c>
      <c r="B64" s="16"/>
      <c r="C64" s="16"/>
      <c r="D64" s="16"/>
      <c r="E64" s="16"/>
    </row>
    <row r="65" spans="1:5" ht="15.65" customHeight="1" x14ac:dyDescent="0.35">
      <c r="A65" s="16"/>
      <c r="B65" s="16"/>
      <c r="C65" s="16"/>
      <c r="D65" s="16"/>
      <c r="E65" s="16"/>
    </row>
    <row r="66" spans="1:5" x14ac:dyDescent="0.35">
      <c r="A66" s="1" t="s">
        <v>72</v>
      </c>
      <c r="C66" s="9"/>
      <c r="D66" s="9"/>
      <c r="E66" s="9"/>
    </row>
    <row r="67" spans="1:5" ht="36.5" customHeight="1" x14ac:dyDescent="0.35">
      <c r="A67" s="75" t="str">
        <f>'Format - Final close Employee'!A62</f>
        <v>For ___________________LLP
(On behalf of  XYZ FUND)</v>
      </c>
      <c r="B67" s="75"/>
    </row>
    <row r="68" spans="1:5" ht="32.5" customHeight="1" x14ac:dyDescent="0.35">
      <c r="C68" s="9"/>
      <c r="D68" s="9"/>
      <c r="E68" s="9"/>
    </row>
    <row r="69" spans="1:5" ht="10.5" customHeight="1" x14ac:dyDescent="0.35"/>
    <row r="70" spans="1:5" ht="10.5" customHeight="1" x14ac:dyDescent="0.35">
      <c r="A70" s="65" t="str">
        <f>'Format - Final close Employee'!A65</f>
        <v>Sd/-
Designated Partner</v>
      </c>
      <c r="B70" s="65"/>
      <c r="C70" s="9"/>
      <c r="D70" s="9"/>
      <c r="E70" s="9"/>
    </row>
    <row r="71" spans="1:5" ht="46" customHeight="1" x14ac:dyDescent="0.35">
      <c r="A71" s="65"/>
      <c r="B71" s="65"/>
      <c r="C71" s="9"/>
      <c r="D71" s="9"/>
      <c r="E71" s="9"/>
    </row>
    <row r="72" spans="1:5" ht="36" customHeight="1" x14ac:dyDescent="0.35"/>
  </sheetData>
  <mergeCells count="20">
    <mergeCell ref="A30:E30"/>
    <mergeCell ref="A67:B67"/>
    <mergeCell ref="A70:B71"/>
    <mergeCell ref="A32:E33"/>
    <mergeCell ref="A35:E35"/>
    <mergeCell ref="B49:D51"/>
    <mergeCell ref="A55:E56"/>
    <mergeCell ref="A58:E58"/>
    <mergeCell ref="A59:B59"/>
    <mergeCell ref="B3:D6"/>
    <mergeCell ref="B7:D7"/>
    <mergeCell ref="A19:E19"/>
    <mergeCell ref="A23:E24"/>
    <mergeCell ref="A25:E25"/>
    <mergeCell ref="A9:E9"/>
    <mergeCell ref="A10:E10"/>
    <mergeCell ref="A11:E11"/>
    <mergeCell ref="A16:B16"/>
    <mergeCell ref="C16:E17"/>
    <mergeCell ref="A17:B17"/>
  </mergeCells>
  <printOptions horizontalCentered="1"/>
  <pageMargins left="0.19685039370078741" right="0.19685039370078741" top="0" bottom="0" header="0" footer="0"/>
  <pageSetup scale="82" fitToHeight="0" orientation="portrait" r:id="rId1"/>
  <rowBreaks count="1" manualBreakCount="1">
    <brk id="47" max="5" man="1"/>
  </rowBreaks>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Instructions</vt:lpstr>
      <vt:lpstr>Working</vt:lpstr>
      <vt:lpstr>Format - Resident investors</vt:lpstr>
      <vt:lpstr>Format - R Inv (Empl &amp; Sponsor)</vt:lpstr>
      <vt:lpstr>Format - NRIs</vt:lpstr>
      <vt:lpstr>Format - LDC's</vt:lpstr>
      <vt:lpstr>Format - 2nd close R investors</vt:lpstr>
      <vt:lpstr>Format - 2nd close NR investors</vt:lpstr>
      <vt:lpstr>Format - 3rd close NR inves</vt:lpstr>
      <vt:lpstr>Format - 3rd close R invest</vt:lpstr>
      <vt:lpstr>Format - Final close Employee</vt:lpstr>
      <vt:lpstr>Format - Institutional Inv</vt:lpstr>
      <vt:lpstr>'Format - Institutional Inv'!Print_Area</vt:lpstr>
      <vt:lpstr>'Format - LDC''s'!Print_Area</vt:lpstr>
      <vt:lpstr>'Format - NRIs'!Print_Area</vt:lpstr>
      <vt:lpstr>'Format - R Inv (Empl &amp; Sponsor)'!Print_Area</vt:lpstr>
      <vt:lpstr>'Format - Resident investors'!Print_Area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Client</dc:creator>
  <cp:lastModifiedBy>Jatin Vora</cp:lastModifiedBy>
  <cp:lastPrinted>2026-06-22T06:44:52Z</cp:lastPrinted>
  <dcterms:created xsi:type="dcterms:W3CDTF">2015-06-05T18:17:20Z</dcterms:created>
  <dcterms:modified xsi:type="dcterms:W3CDTF">2026-10-02T05:08:58Z</dcterms:modified>
</cp:coreProperties>
</file>